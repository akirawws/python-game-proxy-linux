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оли" sheetId="1" state="visible" r:id="rId3"/>
    <sheet name="Задачи" sheetId="2" state="visible" r:id="rId4"/>
    <sheet name="Ч1 подробно" sheetId="3" state="visible" r:id="rId5"/>
    <sheet name="Ч2 подробно" sheetId="4" state="visible" r:id="rId6"/>
    <sheet name="Ч3 подробно" sheetId="5" state="visible" r:id="rId7"/>
    <sheet name="Общие подробно" sheetId="6" state="visible" r:id="rId8"/>
    <sheet name="План по неделям" sheetId="7" state="visible" r:id="rId9"/>
    <sheet name="Контрольные точки" sheetId="8" state="visible" r:id="rId10"/>
  </sheets>
  <definedNames>
    <definedName function="false" hidden="true" localSheetId="1" name="_xlnm._FilterDatabase" vbProcedure="false">Задачи!$A$4:$I$48</definedName>
    <definedName function="false" hidden="true" localSheetId="5" name="_xlnm._FilterDatabase" vbProcedure="false">'Общие подробно'!$A$4:$J$16</definedName>
    <definedName function="false" hidden="true" localSheetId="2" name="_xlnm._FilterDatabase" vbProcedure="false">'Ч1 подробно'!$A$4:$J$76</definedName>
    <definedName function="false" hidden="true" localSheetId="3" name="_xlnm._FilterDatabase" vbProcedure="false">'Ч2 подробно'!$A$4:$J$68</definedName>
    <definedName function="false" hidden="true" localSheetId="4" name="_xlnm._FilterDatabase" vbProcedure="false">'Ч3 подробно'!$A$4:$J$50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<sst xmlns="http://schemas.openxmlformats.org/spreadsheetml/2006/main" count="1794" uniqueCount="921">
  <si>
    <t xml:space="preserve">NetShield — распределение ролей и прогресс</t>
  </si>
  <si>
    <t xml:space="preserve">Имена вводятся в столбце B (синий). Счётчики считаются по листу «Задачи».</t>
  </si>
  <si>
    <t xml:space="preserve">Роль</t>
  </si>
  <si>
    <t xml:space="preserve">Имя участника</t>
  </si>
  <si>
    <t xml:space="preserve">Зона ответственности</t>
  </si>
  <si>
    <t xml:space="preserve">Папки репозитория</t>
  </si>
  <si>
    <t xml:space="preserve">Задач</t>
  </si>
  <si>
    <t xml:space="preserve">В работе</t>
  </si>
  <si>
    <t xml:space="preserve">Готово</t>
  </si>
  <si>
    <t xml:space="preserve">Прогресс</t>
  </si>
  <si>
    <t xml:space="preserve">Задачи-недели</t>
  </si>
  <si>
    <t xml:space="preserve">Подробных пунктов</t>
  </si>
  <si>
    <t xml:space="preserve">В работе (подр.)</t>
  </si>
  <si>
    <t xml:space="preserve">Готово (подр.)</t>
  </si>
  <si>
    <t xml:space="preserve">Прогресс (подр.)</t>
  </si>
  <si>
    <t xml:space="preserve">Человек 1</t>
  </si>
  <si>
    <t xml:space="preserve">Linux, сеть, firewall, Rule Manager, скрипты безопасности, стенд, замеры производительности</t>
  </si>
  <si>
    <t xml:space="preserve">scripts/, app/firewall/, deploy/, lab/</t>
  </si>
  <si>
    <t xml:space="preserve">Человек 2</t>
  </si>
  <si>
    <t xml:space="preserve">Collector, алгоритмы обнаружения A–D, хранилище ClickHouse, оценка качества (Recall/FPR)</t>
  </si>
  <si>
    <t xml:space="preserve">app/collector/, app/detector/, app/storage/</t>
  </si>
  <si>
    <t xml:space="preserve">Человек 3</t>
  </si>
  <si>
    <t xml:space="preserve">FastAPI, веб-панель, аутентификация, аудит, проверки безопасности веб-приложения</t>
  </si>
  <si>
    <t xml:space="preserve">app/api/, app/security/, web/, tests/test_auth.py, tests/test_api.py</t>
  </si>
  <si>
    <t xml:space="preserve">Все</t>
  </si>
  <si>
    <t xml:space="preserve">—</t>
  </si>
  <si>
    <t xml:space="preserve">Общие задачи: контракты интерфейсов, интеграция, финальный отчёт и защита</t>
  </si>
  <si>
    <t xml:space="preserve">docs/, README.md</t>
  </si>
  <si>
    <t xml:space="preserve">Итого</t>
  </si>
  <si>
    <t xml:space="preserve">Листы «Ч1/Ч2/Ч3/Общие подробно» содержат полную декомпозицию ТЗ; лист «Задачи» — укрупнённый план с диаграммой Ганта.</t>
  </si>
  <si>
    <t xml:space="preserve">NetShield — задачи и диаграмма Ганта</t>
  </si>
  <si>
    <t xml:space="preserve">Легенда: синий текст = вводимые значения (недели старта/конца, статус). Черный = формулы. Ячейки Ганта заливаются автоматически по неделям старта и конца. Исполнителей можно заменить на имена через «Найти и заменить» (на листах «Задачи» и «Роли»).</t>
  </si>
  <si>
    <t xml:space="preserve">Недели проекта →</t>
  </si>
  <si>
    <t xml:space="preserve">ID</t>
  </si>
  <si>
    <t xml:space="preserve">Исполнитель</t>
  </si>
  <si>
    <t xml:space="preserve">Блок</t>
  </si>
  <si>
    <t xml:space="preserve">Задача</t>
  </si>
  <si>
    <t xml:space="preserve">Старт (нед.)</t>
  </si>
  <si>
    <t xml:space="preserve">Конец (нед.)</t>
  </si>
  <si>
    <t xml:space="preserve">Длит. (нед.)</t>
  </si>
  <si>
    <t xml:space="preserve">Статус</t>
  </si>
  <si>
    <t xml:space="preserve">Зависит от</t>
  </si>
  <si>
    <t xml:space="preserve">0.1</t>
  </si>
  <si>
    <t xml:space="preserve">Старт</t>
  </si>
  <si>
    <t xml:space="preserve">Согласовать контракты интерфейсов: Metrics, Decision, Rule, Event (pydantic-модели), список разрешённых действий</t>
  </si>
  <si>
    <t xml:space="preserve">Не начато</t>
  </si>
  <si>
    <t xml:space="preserve">1.1</t>
  </si>
  <si>
    <t xml:space="preserve">Стенд</t>
  </si>
  <si>
    <t xml:space="preserve">Репозиторий и структура netshield/, ветки и правила git</t>
  </si>
  <si>
    <t xml:space="preserve">1.2</t>
  </si>
  <si>
    <t xml:space="preserve">Развернуть стенд (ВМ или network namespaces: клиент, шлюз, backend), topology.md</t>
  </si>
  <si>
    <t xml:space="preserve">1.3</t>
  </si>
  <si>
    <t xml:space="preserve">Сеть</t>
  </si>
  <si>
    <t xml:space="preserve">IP forwarding, NAT, проверка интерфейсов (configure_network.sh)</t>
  </si>
  <si>
    <t xml:space="preserve">1.4</t>
  </si>
  <si>
    <t xml:space="preserve">Firewall</t>
  </si>
  <si>
    <t xml:space="preserve">Базовые таблицы и цепочки nftables (configure_firewall.sh)</t>
  </si>
  <si>
    <t xml:space="preserve">1.5</t>
  </si>
  <si>
    <t xml:space="preserve">Тесты</t>
  </si>
  <si>
    <t xml:space="preserve">Тесты T01–T07: TCP/UDP, порты, изоляция серверов, обход шлюза, NAT</t>
  </si>
  <si>
    <t xml:space="preserve">1.3; 1.4</t>
  </si>
  <si>
    <t xml:space="preserve">1.6</t>
  </si>
  <si>
    <t xml:space="preserve">policy.py и validation.py: политика сервера, проверка параметров правил</t>
  </si>
  <si>
    <t xml:space="preserve">1.7</t>
  </si>
  <si>
    <t xml:space="preserve">rule_manager.py: лимиты TCP/UDP, TTL, cooldown, whitelist, атомарное обновление, откат</t>
  </si>
  <si>
    <t xml:space="preserve">1.8</t>
  </si>
  <si>
    <t xml:space="preserve">Скрипты</t>
  </si>
  <si>
    <t xml:space="preserve">install.sh, secure_ssh.sh, configure_sysctl.sh</t>
  </si>
  <si>
    <t xml:space="preserve">1.9</t>
  </si>
  <si>
    <t xml:space="preserve">backup_config.sh, restore_config.sh, configure_service.sh (systemd)</t>
  </si>
  <si>
    <t xml:space="preserve">1.10</t>
  </si>
  <si>
    <t xml:space="preserve">Тесты T08–T10: перезапуск шлюза и Python, ошибка конфигурации</t>
  </si>
  <si>
    <t xml:space="preserve">1.8; 1.9</t>
  </si>
  <si>
    <t xml:space="preserve">1.11</t>
  </si>
  <si>
    <t xml:space="preserve">Автоматика</t>
  </si>
  <si>
    <t xml:space="preserve">Включить автоприменение правил, испытания фильтрации (раздел 9.4)</t>
  </si>
  <si>
    <t xml:space="preserve">1.7; 2.6</t>
  </si>
  <si>
    <t xml:space="preserve">1.12</t>
  </si>
  <si>
    <t xml:space="preserve">Производительность</t>
  </si>
  <si>
    <t xml:space="preserve">Замеры в 4 режимах, ≥5 повторов, результаты в CSV</t>
  </si>
  <si>
    <t xml:space="preserve">1.13</t>
  </si>
  <si>
    <t xml:space="preserve">check_security.sh, исправления по результатам стенда</t>
  </si>
  <si>
    <t xml:space="preserve">1.14</t>
  </si>
  <si>
    <t xml:space="preserve">Документация</t>
  </si>
  <si>
    <t xml:space="preserve">Инструкция по установке, резервному копированию и восстановлению</t>
  </si>
  <si>
    <t xml:space="preserve">2.1</t>
  </si>
  <si>
    <t xml:space="preserve">Хранилище</t>
  </si>
  <si>
    <t xml:space="preserve">Схема ClickHouse (MergeTree, партиции, TTL), модели метрик</t>
  </si>
  <si>
    <t xml:space="preserve">2.2</t>
  </si>
  <si>
    <t xml:space="preserve">Collector</t>
  </si>
  <si>
    <t xml:space="preserve">Сбор /sys/class/net, расчёт PPS/bps, обработка сброса счётчиков и «нет данных»</t>
  </si>
  <si>
    <t xml:space="preserve">2.3</t>
  </si>
  <si>
    <t xml:space="preserve">Пакетная запись (batch insert), ограниченный буфер, repository.py</t>
  </si>
  <si>
    <t xml:space="preserve">2.4</t>
  </si>
  <si>
    <t xml:space="preserve">Detector</t>
  </si>
  <si>
    <t xml:space="preserve">Алгоритм A: фиксированные пороги (thresholds.py)</t>
  </si>
  <si>
    <t xml:space="preserve">2.5</t>
  </si>
  <si>
    <t xml:space="preserve">Алгоритм B: EWMA (ewma.py), заморозка базовой линии</t>
  </si>
  <si>
    <t xml:space="preserve">2.6</t>
  </si>
  <si>
    <t xml:space="preserve">scoring.py: общий балл риска, подтверждение по интервалам, cooldown, режим наблюдения</t>
  </si>
  <si>
    <t xml:space="preserve">2.4; 2.5</t>
  </si>
  <si>
    <t xml:space="preserve">2.7</t>
  </si>
  <si>
    <t xml:space="preserve">Unit-тесты test_detector.py</t>
  </si>
  <si>
    <t xml:space="preserve">2.8</t>
  </si>
  <si>
    <t xml:space="preserve">Collector: счётчики nftables, conntrack, per-IP учёт</t>
  </si>
  <si>
    <t xml:space="preserve">2.2; 1.4</t>
  </si>
  <si>
    <t xml:space="preserve">2.9</t>
  </si>
  <si>
    <t xml:space="preserve">Алгоритмы C (среднее/σ, медиана/MAD) и D (поведение источников)</t>
  </si>
  <si>
    <t xml:space="preserve">2.10</t>
  </si>
  <si>
    <t xml:space="preserve">Агрегаты и materialized views для графиков, проверка TTL</t>
  </si>
  <si>
    <t xml:space="preserve">2.11</t>
  </si>
  <si>
    <t xml:space="preserve">Калибровка порогов и шкалы риска на тестовых данных</t>
  </si>
  <si>
    <t xml:space="preserve">2.12</t>
  </si>
  <si>
    <t xml:space="preserve">Сценарии A01–A12, расчёт Recall и FPR</t>
  </si>
  <si>
    <t xml:space="preserve">2.13</t>
  </si>
  <si>
    <t xml:space="preserve">Таблицы качества обнаружения, выводы</t>
  </si>
  <si>
    <t xml:space="preserve">3.1</t>
  </si>
  <si>
    <t xml:space="preserve">API</t>
  </si>
  <si>
    <t xml:space="preserve">Каркас FastAPI, макеты страниц панели</t>
  </si>
  <si>
    <t xml:space="preserve">3.2</t>
  </si>
  <si>
    <t xml:space="preserve">Безопасность</t>
  </si>
  <si>
    <t xml:space="preserve">Аутентификация: хеш пароля, сессии (Secure/HttpOnly/SameSite), таблица users</t>
  </si>
  <si>
    <t xml:space="preserve">3.3</t>
  </si>
  <si>
    <t xml:space="preserve">Лимит попыток входа, HTTPS, CSRF, валидация входных данных</t>
  </si>
  <si>
    <t xml:space="preserve">3.4</t>
  </si>
  <si>
    <t xml:space="preserve">CRUD серверов и портов (без shell-команд)</t>
  </si>
  <si>
    <t xml:space="preserve">3.1; 0.1</t>
  </si>
  <si>
    <t xml:space="preserve">3.5</t>
  </si>
  <si>
    <t xml:space="preserve">Веб-панель</t>
  </si>
  <si>
    <t xml:space="preserve">Страницы «Серверы» и «Трафик», графики Chart.js (5 мин / 1 ч / 24 ч / 7 дн)</t>
  </si>
  <si>
    <t xml:space="preserve">3.6</t>
  </si>
  <si>
    <t xml:space="preserve">Dashboard с реальными метриками, «Нет данных» вместо нулей</t>
  </si>
  <si>
    <t xml:space="preserve">2.3; 3.5</t>
  </si>
  <si>
    <t xml:space="preserve">3.7</t>
  </si>
  <si>
    <t xml:space="preserve">Страницы «События», «Правила», «Настройки», фильтры</t>
  </si>
  <si>
    <t xml:space="preserve">3.8</t>
  </si>
  <si>
    <t xml:space="preserve">audit.py и страница «Аудит»</t>
  </si>
  <si>
    <t xml:space="preserve">3.9</t>
  </si>
  <si>
    <t xml:space="preserve">test_api.py, test_auth.py</t>
  </si>
  <si>
    <t xml:space="preserve">3.10</t>
  </si>
  <si>
    <t xml:space="preserve">Страница «Безопасность» (состояние служб, ошибки конфигурации)</t>
  </si>
  <si>
    <t xml:space="preserve">3.11</t>
  </si>
  <si>
    <t xml:space="preserve">Проверки безопасности веб-приложения (раздел 9.6), тесты T11–T12</t>
  </si>
  <si>
    <t xml:space="preserve">3.12</t>
  </si>
  <si>
    <t xml:space="preserve">Исправления UI/API по результатам испытаний</t>
  </si>
  <si>
    <t xml:space="preserve">3.13</t>
  </si>
  <si>
    <t xml:space="preserve">Сборка документации, анализ ограничений, подготовка демо-сценария</t>
  </si>
  <si>
    <t xml:space="preserve">0.2</t>
  </si>
  <si>
    <t xml:space="preserve">Интеграция</t>
  </si>
  <si>
    <t xml:space="preserve">Сквозной сценарий: Collector → Detector → Rule Manager → панель (режим наблюдения)</t>
  </si>
  <si>
    <t xml:space="preserve">2.6; 1.7; 3.6</t>
  </si>
  <si>
    <t xml:space="preserve">0.3</t>
  </si>
  <si>
    <t xml:space="preserve">Финал</t>
  </si>
  <si>
    <t xml:space="preserve">Главный критерий ТЗ: аномалия → событие в панели → правило при остановленном Python</t>
  </si>
  <si>
    <t xml:space="preserve">0.4</t>
  </si>
  <si>
    <t xml:space="preserve">Финальный отчёт и защита проекта</t>
  </si>
  <si>
    <t xml:space="preserve">1.14; 2.13; 3.13</t>
  </si>
  <si>
    <t xml:space="preserve">Человек 1 — Linux, сеть, firewall, Rule Manager, скрипты, стенд, производительность</t>
  </si>
  <si>
    <t xml:space="preserve">Все пункты взяты из ТЗ; в столбце «Раздел ТЗ» указан номер раздела. Синий = вводимые значения (недели, статус, примечание).</t>
  </si>
  <si>
    <t xml:space="preserve">№</t>
  </si>
  <si>
    <t xml:space="preserve">Раздел ТЗ</t>
  </si>
  <si>
    <t xml:space="preserve">Задача (подробно)</t>
  </si>
  <si>
    <t xml:space="preserve">Результат / критерий готовности</t>
  </si>
  <si>
    <t xml:space="preserve">Файл / модуль</t>
  </si>
  <si>
    <t xml:space="preserve">Нед. старт</t>
  </si>
  <si>
    <t xml:space="preserve">Нед. конец</t>
  </si>
  <si>
    <t xml:space="preserve">Примечание</t>
  </si>
  <si>
    <t xml:space="preserve">Ч1-01</t>
  </si>
  <si>
    <t xml:space="preserve">9.1</t>
  </si>
  <si>
    <t xml:space="preserve">Развернуть лабораторный стенд на собственных ВМ (KVM/VirtualBox) или Linux network namespaces: клиент/генератор нагрузки, шлюз, backend (Web + игровой сервис). Сеть изолирована, чужие сети и публичные серверы не затрагиваются.</t>
  </si>
  <si>
    <t xml:space="preserve">Стенд поднимается по инструкции повторяемо</t>
  </si>
  <si>
    <t xml:space="preserve">lab/topology.md</t>
  </si>
  <si>
    <t xml:space="preserve">Ч1-02</t>
  </si>
  <si>
    <t xml:space="preserve">Установить и проверить инструменты: nftables, conntrack, tcpdump, Wireshark, iperf3, pytest, wrk или k6, тестовый UDP-генератор с ограничением скорости. Зафиксировать версии.</t>
  </si>
  <si>
    <t xml:space="preserve">Все инструменты запускаются на стенде</t>
  </si>
  <si>
    <t xml:space="preserve">lab/</t>
  </si>
  <si>
    <t xml:space="preserve">Ч1-03</t>
  </si>
  <si>
    <t xml:space="preserve">Поднять на backend тестовые сервисы: Web (HTTP) и UDP-сервис, имитирующий игровой.</t>
  </si>
  <si>
    <t xml:space="preserve">Сервисы отвечают через шлюз</t>
  </si>
  <si>
    <t xml:space="preserve">Ч1-04</t>
  </si>
  <si>
    <t xml:space="preserve">13</t>
  </si>
  <si>
    <t xml:space="preserve">Создать Git-репозиторий и структуру netshield/ (app, web, scripts, tests, lab, deploy, docs), pyproject.toml, .env.example, README.md.</t>
  </si>
  <si>
    <t xml:space="preserve">Структура соответствует разделу 13 ТЗ</t>
  </si>
  <si>
    <t xml:space="preserve">корень репозитория</t>
  </si>
  <si>
    <t xml:space="preserve">Ч1-05</t>
  </si>
  <si>
    <t xml:space="preserve">9.3</t>
  </si>
  <si>
    <t xml:space="preserve">Описать формат сценария испытаний: длительность, профиль нагрузки, целевой IP/порт, протокол, ожидаемое поведение, критерии прохождения.</t>
  </si>
  <si>
    <t xml:space="preserve">Шаблон принят всей командой</t>
  </si>
  <si>
    <t xml:space="preserve">lab/scenarios.md</t>
  </si>
  <si>
    <t xml:space="preserve">Ч1-06</t>
  </si>
  <si>
    <t xml:space="preserve">4.2</t>
  </si>
  <si>
    <t xml:space="preserve">Маршрутизация и NAT</t>
  </si>
  <si>
    <t xml:space="preserve">Включить и проверить IP forwarding (IPv4; IPv6 — если включён в конфигурации), убедиться, что значение сохраняется после перезагрузки.</t>
  </si>
  <si>
    <t xml:space="preserve">sysctl net.ipv4.ip_forward=1 после reboot</t>
  </si>
  <si>
    <t xml:space="preserve">scripts/configure_network.sh</t>
  </si>
  <si>
    <t xml:space="preserve">Ч1-07</t>
  </si>
  <si>
    <t xml:space="preserve">Проверить интерфейсы и маршруты шлюза (внешний и внутренний), вывести понятную ошибку при отсутствии интерфейса.</t>
  </si>
  <si>
    <t xml:space="preserve">Скрипт не падает на отсутствующем интерфейсе</t>
  </si>
  <si>
    <t xml:space="preserve">Ч1-08</t>
  </si>
  <si>
    <t xml:space="preserve">Обеспечить пересылку TCP- и UDP-трафика между интерфейсами шлюза.</t>
  </si>
  <si>
    <t xml:space="preserve">Тесты T01 и T02 проходят</t>
  </si>
  <si>
    <t xml:space="preserve">nftables</t>
  </si>
  <si>
    <t xml:space="preserve">Ч1-09</t>
  </si>
  <si>
    <t xml:space="preserve">Настроить NAT (DNAT/SNAT/masquerade) под выбранную топологию и корректный обратный маршрут ответов.</t>
  </si>
  <si>
    <t xml:space="preserve">Ответы доходят до клиента (T07)</t>
  </si>
  <si>
    <t xml:space="preserve">Ч1-10</t>
  </si>
  <si>
    <t xml:space="preserve">4.2 / 9.2</t>
  </si>
  <si>
    <t xml:space="preserve">Ограничить прямой доступ к защищаемому серверу в обход шлюза: правила на шлюзе + конфигурация backend (игровой порт разрешён только с адреса шлюза или из доверенной внутренней сети).</t>
  </si>
  <si>
    <t xml:space="preserve">Прямой доступ извне невозможен (T06)</t>
  </si>
  <si>
    <t xml:space="preserve">nftables, настройка backend</t>
  </si>
  <si>
    <t xml:space="preserve">Ч1-11</t>
  </si>
  <si>
    <t xml:space="preserve">4.1</t>
  </si>
  <si>
    <t xml:space="preserve">Обеспечить поддержку нескольких защищаемых серверов и портов с независимыми правилами: изменение одного сервера не меняет политику других.</t>
  </si>
  <si>
    <t xml:space="preserve">Тесты T03 и T04 проходят</t>
  </si>
  <si>
    <t xml:space="preserve">nftables, policy.py</t>
  </si>
  <si>
    <t xml:space="preserve">Ч1-12</t>
  </si>
  <si>
    <t xml:space="preserve">Создать базовые таблицы и цепочки nftables (input, forward, prerouting, postrouting), политику по умолчанию и правила для established/related.</t>
  </si>
  <si>
    <t xml:space="preserve">Базовый набор загружается без ошибок</t>
  </si>
  <si>
    <t xml:space="preserve">scripts/configure_firewall.sh</t>
  </si>
  <si>
    <t xml:space="preserve">Ч1-13</t>
  </si>
  <si>
    <t xml:space="preserve">Реализовать фильтрацию по IP-адресам, портам, протоколам (TCP/UDP) и состоянию соединения (ct state).</t>
  </si>
  <si>
    <t xml:space="preserve">Запрещённый порт блокируется (T05)</t>
  </si>
  <si>
    <t xml:space="preserve">Ч1-14</t>
  </si>
  <si>
    <t xml:space="preserve">Ограничение скорости новых TCP-соединений для выбранных сервисов (limit/meter).</t>
  </si>
  <si>
    <t xml:space="preserve">Лимит срабатывает на тестовой нагрузке</t>
  </si>
  <si>
    <t xml:space="preserve">Ч1-15</t>
  </si>
  <si>
    <t xml:space="preserve">Ограничение скорости UDP-пакетов для выбранных сервисов (игровых).</t>
  </si>
  <si>
    <t xml:space="preserve">Ч1-16</t>
  </si>
  <si>
    <t xml:space="preserve">4.2 / 5.2</t>
  </si>
  <si>
    <t xml:space="preserve">Создать именованные наборы (sets) и счётчики (counters) по защищаемым адресам, портам и направлениям — источник данных для Collector.</t>
  </si>
  <si>
    <t xml:space="preserve">Счётчики читаются через nft -j</t>
  </si>
  <si>
    <t xml:space="preserve">nftables, согласовать с Человеком 2</t>
  </si>
  <si>
    <t xml:space="preserve">Ч1-17</t>
  </si>
  <si>
    <t xml:space="preserve">Вынести правила Rule Manager в отдельную таблицу/цепочку, чтобы динамические правила не затрагивали базовые. Применять изменения атомарно (nft -f).</t>
  </si>
  <si>
    <t xml:space="preserve">Обновление правил атомарное, базовые правила не меняются</t>
  </si>
  <si>
    <t xml:space="preserve">nftables, rule_manager.py</t>
  </si>
  <si>
    <t xml:space="preserve">Ч1-18</t>
  </si>
  <si>
    <t xml:space="preserve">Обеспечить восстановление постоянных правил после перезапуска шлюза (служба nftables, /etc/nftables.conf).</t>
  </si>
  <si>
    <t xml:space="preserve">Правила на месте после reboot (T08)</t>
  </si>
  <si>
    <t xml:space="preserve">nftables, systemd</t>
  </si>
  <si>
    <t xml:space="preserve">Ч1-19</t>
  </si>
  <si>
    <t xml:space="preserve">Гарантировать, что правила применяются только к заданным адресам и портам: аномалия не должна блокировать весь интерфейс или все соединения.</t>
  </si>
  <si>
    <t xml:space="preserve">Проверено тестами на соседних сервисах</t>
  </si>
  <si>
    <t xml:space="preserve">nftables, validation.py</t>
  </si>
  <si>
    <t xml:space="preserve">Ч1-20</t>
  </si>
  <si>
    <t xml:space="preserve">6.8</t>
  </si>
  <si>
    <t xml:space="preserve">Rule Manager</t>
  </si>
  <si>
    <t xml:space="preserve">policy.py: модель политики сервера — разрешённые действия, максимальные лимиты, профили (Web / игровой / пользовательский), максимум одновременных блокировок.</t>
  </si>
  <si>
    <t xml:space="preserve">Политика загружается и валидируется</t>
  </si>
  <si>
    <t xml:space="preserve">app/firewall/policy.py</t>
  </si>
  <si>
    <t xml:space="preserve">Ч1-21</t>
  </si>
  <si>
    <t xml:space="preserve">6.8 / 11</t>
  </si>
  <si>
    <t xml:space="preserve">validation.py: проверка IP, порта, протокола, срока действия и принадлежности цели защищаемому серверу; отказ от любых произвольных команд.</t>
  </si>
  <si>
    <t xml:space="preserve">Некорректные правила отклоняются (T10)</t>
  </si>
  <si>
    <t xml:space="preserve">app/firewall/validation.py</t>
  </si>
  <si>
    <t xml:space="preserve">Ч1-22</t>
  </si>
  <si>
    <t xml:space="preserve">rule_manager.py: приём структурированного решения от Detector и выбор действия только из заранее заданного списка.</t>
  </si>
  <si>
    <t xml:space="preserve">Неизвестное действие отклоняется</t>
  </si>
  <si>
    <t xml:space="preserve">app/firewall/rule_manager.py</t>
  </si>
  <si>
    <t xml:space="preserve">Ч1-23</t>
  </si>
  <si>
    <t xml:space="preserve">Действие «установить ограничение скорости» (по серверу, порту, протоколу).</t>
  </si>
  <si>
    <t xml:space="preserve">Правило создаётся с TTL</t>
  </si>
  <si>
    <t xml:space="preserve">rule_manager.py</t>
  </si>
  <si>
    <t xml:space="preserve">Ч1-24</t>
  </si>
  <si>
    <t xml:space="preserve">Действие «временно ограничить конкретный источник».</t>
  </si>
  <si>
    <t xml:space="preserve">Ограничение действует только на источник</t>
  </si>
  <si>
    <t xml:space="preserve">Ч1-25</t>
  </si>
  <si>
    <t xml:space="preserve">Действие «применить правило к заданному порту и протоколу».</t>
  </si>
  <si>
    <t xml:space="preserve">Правило затрагивает только цель</t>
  </si>
  <si>
    <t xml:space="preserve">Ч1-26</t>
  </si>
  <si>
    <t xml:space="preserve">Действие «отклонить пакеты, однозначно нарушающие политику».</t>
  </si>
  <si>
    <t xml:space="preserve">Нарушающие пакеты отбрасываются</t>
  </si>
  <si>
    <t xml:space="preserve">Ч1-27</t>
  </si>
  <si>
    <t xml:space="preserve">Действие «снять истёкшее временное правило» и планировщик истечения по expires_at (контролируется приложением, а не только БД).</t>
  </si>
  <si>
    <t xml:space="preserve">Правило снимается по сроку (A10)</t>
  </si>
  <si>
    <t xml:space="preserve">Ч1-28</t>
  </si>
  <si>
    <t xml:space="preserve">Действие «зарегистрировать событие без изменения фильтрации».</t>
  </si>
  <si>
    <t xml:space="preserve">Фильтрация не меняется, событие записано</t>
  </si>
  <si>
    <t xml:space="preserve">Ч1-29</t>
  </si>
  <si>
    <t xml:space="preserve">6.6</t>
  </si>
  <si>
    <t xml:space="preserve">Режим наблюдения: Detector работает, Rule Manager только записывает предлагаемые действия и не меняет фильтрацию; возможность ручного отключения автоматических действий.</t>
  </si>
  <si>
    <t xml:space="preserve">Режим переключается из настроек</t>
  </si>
  <si>
    <t xml:space="preserve">Ч1-30</t>
  </si>
  <si>
    <t xml:space="preserve">Защита от ложных срабатываний на стороне Rule Manager: whitelist доверенных адресов, лимит одновременных блокировок, cooldown, постепенное усиление фильтрации.</t>
  </si>
  <si>
    <t xml:space="preserve">Whitelist-адреса не блокируются</t>
  </si>
  <si>
    <t xml:space="preserve">Ч1-31</t>
  </si>
  <si>
    <t xml:space="preserve">11</t>
  </si>
  <si>
    <t xml:space="preserve">Ограничить частоту обновления правил, чтобы колебания нагрузки не вызывали постоянных изменений.</t>
  </si>
  <si>
    <t xml:space="preserve">Не более заданного числа обновлений в минуту</t>
  </si>
  <si>
    <t xml:space="preserve">Ч1-32</t>
  </si>
  <si>
    <t xml:space="preserve">6.6 / 11</t>
  </si>
  <si>
    <t xml:space="preserve">Журналировать причину каждого действия и ошибку применения правила (firewall_rules, audit_logs).</t>
  </si>
  <si>
    <t xml:space="preserve">Каждое действие и ошибка в журнале</t>
  </si>
  <si>
    <t xml:space="preserve">rule_manager.py, repository.py</t>
  </si>
  <si>
    <t xml:space="preserve">Ч1-33</t>
  </si>
  <si>
    <t xml:space="preserve">4.2 / 6.8</t>
  </si>
  <si>
    <t xml:space="preserve">Синхронизировать состояние правил при перезапуске Python (firewall_rules ↔ фактические правила nft); при недоступности Python базовые правила остаются.</t>
  </si>
  <si>
    <t xml:space="preserve">Защита сохраняется после перезапуска (T09)</t>
  </si>
  <si>
    <t xml:space="preserve">Ч1-34</t>
  </si>
  <si>
    <t xml:space="preserve">Разграничить права: компонент, меняющий firewall, работает отдельно от Web API (отдельный процесс/пользователь, минимальные привилегии, локальный сокет).</t>
  </si>
  <si>
    <t xml:space="preserve">Web API не может менять nft напрямую</t>
  </si>
  <si>
    <t xml:space="preserve">deploy/, rule_manager.py</t>
  </si>
  <si>
    <t xml:space="preserve">Ч1-35</t>
  </si>
  <si>
    <t xml:space="preserve">Автотесты Rule Manager и валидации.</t>
  </si>
  <si>
    <t xml:space="preserve">pytest tests/test_firewall.py проходит</t>
  </si>
  <si>
    <t xml:space="preserve">tests/test_firewall.py</t>
  </si>
  <si>
    <t xml:space="preserve">Ч1-36</t>
  </si>
  <si>
    <t xml:space="preserve">4.3</t>
  </si>
  <si>
    <t xml:space="preserve">Скрипты Linux</t>
  </si>
  <si>
    <t xml:space="preserve">install.sh — установка пакетов (nftables, conntrack, Python и зависимости, ClickHouse-клиент) и компонентов проекта.</t>
  </si>
  <si>
    <t xml:space="preserve">Повторный запуск безопасен</t>
  </si>
  <si>
    <t xml:space="preserve">scripts/install.sh</t>
  </si>
  <si>
    <t xml:space="preserve">Ч1-37</t>
  </si>
  <si>
    <t xml:space="preserve">configure_network.sh — проверка интерфейсов, маршрутов и параметров пересылки.</t>
  </si>
  <si>
    <t xml:space="preserve">Корректный вывод и коды возврата</t>
  </si>
  <si>
    <t xml:space="preserve">Ч1-38</t>
  </si>
  <si>
    <t xml:space="preserve">configure_firewall.sh — создание базовых таблиц и цепочек nftables с проверкой синтаксиса до применения.</t>
  </si>
  <si>
    <t xml:space="preserve">Ошибочный конфиг не применяется</t>
  </si>
  <si>
    <t xml:space="preserve">Ч1-39</t>
  </si>
  <si>
    <t xml:space="preserve">secure_ssh.sh — проверка безопасных настроек SSH, ограничение административного доступа; не потерять доступ при применении.</t>
  </si>
  <si>
    <t xml:space="preserve">SSH-доступ сохраняется после применения</t>
  </si>
  <si>
    <t xml:space="preserve">scripts/secure_ssh.sh</t>
  </si>
  <si>
    <t xml:space="preserve">Ч1-40</t>
  </si>
  <si>
    <t xml:space="preserve">configure_sysctl.sh — согласованный набор параметров ядра (forwarding, conntrack, защита от spoofing и т. п.).</t>
  </si>
  <si>
    <t xml:space="preserve">Параметры применяются и сохраняются</t>
  </si>
  <si>
    <t xml:space="preserve">scripts/configure_sysctl.sh</t>
  </si>
  <si>
    <t xml:space="preserve">Ч1-41</t>
  </si>
  <si>
    <t xml:space="preserve">configure_service.sh — служба systemd для Python-приложения (отдельный пользователь, Restart=, автозапуск).</t>
  </si>
  <si>
    <t xml:space="preserve">Служба стартует после reboot</t>
  </si>
  <si>
    <t xml:space="preserve">scripts/configure_service.sh, deploy/netshield.service</t>
  </si>
  <si>
    <t xml:space="preserve">Ч1-42</t>
  </si>
  <si>
    <t xml:space="preserve">check_security.sh — проверка конфигурации, открытых портов и состояния защиты.</t>
  </si>
  <si>
    <t xml:space="preserve">Отчёт по чек-листу безопасности</t>
  </si>
  <si>
    <t xml:space="preserve">scripts/check_security.sh</t>
  </si>
  <si>
    <t xml:space="preserve">Ч1-43</t>
  </si>
  <si>
    <t xml:space="preserve">backup_config.sh — резервная копия конфигурации приложения и правил nftables.</t>
  </si>
  <si>
    <t xml:space="preserve">Архив создаётся и проверяется</t>
  </si>
  <si>
    <t xml:space="preserve">scripts/backup_config.sh</t>
  </si>
  <si>
    <t xml:space="preserve">Ч1-44</t>
  </si>
  <si>
    <t xml:space="preserve">restore_config.sh — восстановление ранее сохранённой конфигурации.</t>
  </si>
  <si>
    <t xml:space="preserve">Конфигурация восстанавливается из копии</t>
  </si>
  <si>
    <t xml:space="preserve">scripts/restore_config.sh</t>
  </si>
  <si>
    <t xml:space="preserve">Ч1-45</t>
  </si>
  <si>
    <t xml:space="preserve">8.6</t>
  </si>
  <si>
    <t xml:space="preserve">Настроить ClickHouse на шлюзе: отдельный пользователь БД с минимальными правами, доступ только с адреса приложения/админ-сети, секреты в окружении.</t>
  </si>
  <si>
    <t xml:space="preserve">ClickHouse недоступен из Интернета</t>
  </si>
  <si>
    <t xml:space="preserve">ClickHouse config, .env</t>
  </si>
  <si>
    <t xml:space="preserve">Ч1-46</t>
  </si>
  <si>
    <t xml:space="preserve">8.1</t>
  </si>
  <si>
    <t xml:space="preserve">Резервное копирование данных ClickHouse и регулярная проверка восстановления.</t>
  </si>
  <si>
    <t xml:space="preserve">Восстановление проверено</t>
  </si>
  <si>
    <t xml:space="preserve">Ч1-47</t>
  </si>
  <si>
    <t xml:space="preserve">9.2</t>
  </si>
  <si>
    <t xml:space="preserve">Тесты T01–T10</t>
  </si>
  <si>
    <t xml:space="preserve">T01 — пересылка TCP: разрешённое соединение проходит через шлюз.</t>
  </si>
  <si>
    <t xml:space="preserve">Проходит</t>
  </si>
  <si>
    <t xml:space="preserve">lab/results/</t>
  </si>
  <si>
    <t xml:space="preserve">Ч1-48</t>
  </si>
  <si>
    <t xml:space="preserve">T02 — пересылка UDP: пакеты достигают тестового сервера.</t>
  </si>
  <si>
    <t xml:space="preserve">Ч1-49</t>
  </si>
  <si>
    <t xml:space="preserve">T03 — несколько портов: каждый обрабатывается по своей политике.</t>
  </si>
  <si>
    <t xml:space="preserve">Ч1-50</t>
  </si>
  <si>
    <t xml:space="preserve">T04 — несколько серверов: правила одного не влияют на остальные.</t>
  </si>
  <si>
    <t xml:space="preserve">Ч1-51</t>
  </si>
  <si>
    <t xml:space="preserve">T05 — запрещённый порт: пакеты блокируются.</t>
  </si>
  <si>
    <t xml:space="preserve">Ч1-52</t>
  </si>
  <si>
    <t xml:space="preserve">T06 — обход шлюза: прямой доступ к backend извне невозможен (проверить и правила шлюза, и конфигурацию backend).</t>
  </si>
  <si>
    <t xml:space="preserve">Ч1-53</t>
  </si>
  <si>
    <t xml:space="preserve">T07 — NAT и обратный маршрут: соединения работают в обоих направлениях.</t>
  </si>
  <si>
    <t xml:space="preserve">Ч1-54</t>
  </si>
  <si>
    <t xml:space="preserve">T08 — перезапуск шлюза: постоянные правила восстанавливаются.</t>
  </si>
  <si>
    <t xml:space="preserve">Ч1-55</t>
  </si>
  <si>
    <t xml:space="preserve">T09 — перезапуск Python: базовая фильтрация продолжает работать.</t>
  </si>
  <si>
    <t xml:space="preserve">Ч1-56</t>
  </si>
  <si>
    <t xml:space="preserve">T10 — ошибка конфигурации: некорректные правила отклоняются без нарушения текущей политики.</t>
  </si>
  <si>
    <t xml:space="preserve">Ч1-57</t>
  </si>
  <si>
    <t xml:space="preserve">9.4</t>
  </si>
  <si>
    <t xml:space="preserve">Испытания фильтрации</t>
  </si>
  <si>
    <t xml:space="preserve">Для каждого сценария с обнаруженной аномалией проверить: создалось событие; указана причина срабатывания; выбрано разрешённое действие.</t>
  </si>
  <si>
    <t xml:space="preserve">Чек-лист 9.4 пункты 1–3</t>
  </si>
  <si>
    <t xml:space="preserve">Ч1-58</t>
  </si>
  <si>
    <t xml:space="preserve">Проверить: применилось правило nftables; затронут только целевой сервис или источник; записаны время применения и срок действия.</t>
  </si>
  <si>
    <t xml:space="preserve">Чек-лист 9.4 пункты 4–6</t>
  </si>
  <si>
    <t xml:space="preserve">Ч1-59</t>
  </si>
  <si>
    <t xml:space="preserve">Проверить: временное правило снялось по истечении срока; легитимные подключения продолжили работать.</t>
  </si>
  <si>
    <t xml:space="preserve">Чек-лист 9.4 пункты 7–8</t>
  </si>
  <si>
    <t xml:space="preserve">Ч1-60</t>
  </si>
  <si>
    <t xml:space="preserve">Проверить: защита сохраняется после перезапуска Python; при ошибке применения правила записана ошибка.</t>
  </si>
  <si>
    <t xml:space="preserve">Чек-лист 9.4 пункты 9–10</t>
  </si>
  <si>
    <t xml:space="preserve">Ч1-61</t>
  </si>
  <si>
    <t xml:space="preserve">Отдельно проверить режим наблюдения: обнаружение работает, правила автоматически не применяются.</t>
  </si>
  <si>
    <t xml:space="preserve">Режим наблюдения подтверждён</t>
  </si>
  <si>
    <t xml:space="preserve">Ч1-62</t>
  </si>
  <si>
    <t xml:space="preserve">9.5</t>
  </si>
  <si>
    <t xml:space="preserve">Испытания скриптов</t>
  </si>
  <si>
    <t xml:space="preserve">Повторный запуск каждого скрипта; запуск без root там, где допустимо; обработка отсутствующих пакетов и интерфейсов.</t>
  </si>
  <si>
    <t xml:space="preserve">Скрипты идемпотентны</t>
  </si>
  <si>
    <t xml:space="preserve">scripts/</t>
  </si>
  <si>
    <t xml:space="preserve">Ч1-63</t>
  </si>
  <si>
    <t xml:space="preserve">Проверка синтаксиса конфигурации до применения; восстановление работы после неудачного изменения.</t>
  </si>
  <si>
    <t xml:space="preserve">Откат работает</t>
  </si>
  <si>
    <t xml:space="preserve">Ч1-64</t>
  </si>
  <si>
    <t xml:space="preserve">Проверить резервное копирование и восстановление; открытые порты; SSH-доступ после настройки; попытку доступа к панели извне разрешённой сети.</t>
  </si>
  <si>
    <t xml:space="preserve">Чек-лист 9.5 выполнен</t>
  </si>
  <si>
    <t xml:space="preserve">scripts/, lab/results/</t>
  </si>
  <si>
    <t xml:space="preserve">Ч1-65</t>
  </si>
  <si>
    <t xml:space="preserve">10.2</t>
  </si>
  <si>
    <t xml:space="preserve">Подготовить методику замеров: одинаковая топология, настройки генератора, длительность и исходная нагрузка; ≥5 повторов на конфигурацию.</t>
  </si>
  <si>
    <t xml:space="preserve">Методика описана в lab/</t>
  </si>
  <si>
    <t xml:space="preserve">Ч1-66</t>
  </si>
  <si>
    <t xml:space="preserve">Режим 1: обычная пересылка Linux без дополнительных правил проекта.</t>
  </si>
  <si>
    <t xml:space="preserve">Замеры сохранены в CSV</t>
  </si>
  <si>
    <t xml:space="preserve">lab/results/*.csv</t>
  </si>
  <si>
    <t xml:space="preserve">Ч1-67</t>
  </si>
  <si>
    <t xml:space="preserve">Режим 2: пересылка с базовой фильтрацией nftables.</t>
  </si>
  <si>
    <t xml:space="preserve">Ч1-68</t>
  </si>
  <si>
    <t xml:space="preserve">Режим 3: пересылка с включённым сбором метрик.</t>
  </si>
  <si>
    <t xml:space="preserve">Ч1-69</t>
  </si>
  <si>
    <t xml:space="preserve">Режим 4: полная система с Detector и автоматическим применением правил.</t>
  </si>
  <si>
    <t xml:space="preserve">Ч1-70</t>
  </si>
  <si>
    <t xml:space="preserve">Измерять для каждого режима: Мбит/с, PPS, CPU и RAM, потери пакетов, число обслуживаемых соединений, время обнаружения и применения правил.</t>
  </si>
  <si>
    <t xml:space="preserve">Сводная таблица готова</t>
  </si>
  <si>
    <t xml:space="preserve">Ч1-71</t>
  </si>
  <si>
    <t xml:space="preserve">10</t>
  </si>
  <si>
    <t xml:space="preserve">Проверить цели: время применения правила ≤2 с после решения Detector; доп. задержка p95 ≤5 мс; повторяемость результатов.</t>
  </si>
  <si>
    <t xml:space="preserve">Цели подтверждены или уточнены</t>
  </si>
  <si>
    <t xml:space="preserve">Ч1-72</t>
  </si>
  <si>
    <t xml:space="preserve">Написать инструкцию по установке, настройке, резервному копированию и восстановлению; описание стенда (topology.md).</t>
  </si>
  <si>
    <t xml:space="preserve">Раздел в docs/ готов</t>
  </si>
  <si>
    <t xml:space="preserve">docs/, lab/</t>
  </si>
  <si>
    <t xml:space="preserve">Человек 2 — Collector, Detector, ClickHouse, оценка качества</t>
  </si>
  <si>
    <t xml:space="preserve">Ч2-01</t>
  </si>
  <si>
    <t xml:space="preserve">5</t>
  </si>
  <si>
    <t xml:space="preserve">sources.py: общий интерфейс источника метрик; периодический опрос каждые 1 с (интервал настраивается); контроль точного интервала Δt.</t>
  </si>
  <si>
    <t xml:space="preserve">Опрос идёт без накопления задержки</t>
  </si>
  <si>
    <t xml:space="preserve">app/collector/sources.py</t>
  </si>
  <si>
    <t xml:space="preserve">Ч2-02</t>
  </si>
  <si>
    <t xml:space="preserve">5.2</t>
  </si>
  <si>
    <t xml:space="preserve">interfaces.py: чтение счётчиков /sys/class/net/&lt;iface&gt;/statistics (rx/tx bytes и packets, drops, errors).</t>
  </si>
  <si>
    <t xml:space="preserve">Счётчики читаются по всем интерфейсам</t>
  </si>
  <si>
    <t xml:space="preserve">app/collector/interfaces.py</t>
  </si>
  <si>
    <t xml:space="preserve">Ч2-03</t>
  </si>
  <si>
    <t xml:space="preserve">5.3</t>
  </si>
  <si>
    <t xml:space="preserve">Расчёт скоростей: PPS = ΔP/Δt, bps = ΔB·8/Δt для входящего и исходящего направлений.</t>
  </si>
  <si>
    <t xml:space="preserve">Значения совпадают с iperf3</t>
  </si>
  <si>
    <t xml:space="preserve">app/collector/</t>
  </si>
  <si>
    <t xml:space="preserve">Ч2-04</t>
  </si>
  <si>
    <t xml:space="preserve">Обработка сброса счётчиков (значение уменьшилось), перезапуска интерфейса и отсутствия данных.</t>
  </si>
  <si>
    <t xml:space="preserve">Нет отрицательных скоростей и скачков</t>
  </si>
  <si>
    <t xml:space="preserve">Ч2-05</t>
  </si>
  <si>
    <t xml:space="preserve">5.3 / A11</t>
  </si>
  <si>
    <t xml:space="preserve">Отсутствие метрики не считать нулевым трафиком: помечать «нет данных», писать ошибку сбора в system_status.</t>
  </si>
  <si>
    <t xml:space="preserve">Тест A11 проходит</t>
  </si>
  <si>
    <t xml:space="preserve">app/collector/, system_status</t>
  </si>
  <si>
    <t xml:space="preserve">Ч2-06</t>
  </si>
  <si>
    <t xml:space="preserve">nftables.py: чтение счётчиков и состояния правил nftables (nft -j), расчёт дельт по защищаемым серверам, портам и направлениям.</t>
  </si>
  <si>
    <t xml:space="preserve">Метрики по каждому серверу</t>
  </si>
  <si>
    <t xml:space="preserve">app/collector/nftables.py</t>
  </si>
  <si>
    <t xml:space="preserve">Ч2-07</t>
  </si>
  <si>
    <t xml:space="preserve">conntrack.py: количество записей conntrack (count/max), скорость появления новых соединений (tcp_new).</t>
  </si>
  <si>
    <t xml:space="preserve">conntrack_count и tcp_new в метриках</t>
  </si>
  <si>
    <t xml:space="preserve">app/collector/conntrack.py</t>
  </si>
  <si>
    <t xml:space="preserve">Ч2-08</t>
  </si>
  <si>
    <t xml:space="preserve">Системные метрики Linux: CPU, RAM, load average, состояние служб.</t>
  </si>
  <si>
    <t xml:space="preserve">Данные попадают в system_status</t>
  </si>
  <si>
    <t xml:space="preserve">Ч2-09</t>
  </si>
  <si>
    <t xml:space="preserve">5.1 / 8</t>
  </si>
  <si>
    <t xml:space="preserve">Формировать метрики по каждому серверу: in/out bytes, in/out PPS, in/out bps, tcp_new, udp_pps, conntrack_count.</t>
  </si>
  <si>
    <t xml:space="preserve">Поля соответствуют таблицам traffic_metrics и connection_metrics</t>
  </si>
  <si>
    <t xml:space="preserve">Ч2-10</t>
  </si>
  <si>
    <t xml:space="preserve">5.2 / 6.4</t>
  </si>
  <si>
    <t xml:space="preserve">Детализация по источникам (per-IP): новые TCP-соединения, UDP pps, обращения к порту, число новых источников за интервал — через наборы nftables/conntrack; включается только при необходимости.</t>
  </si>
  <si>
    <t xml:space="preserve">Per-IP метрики доступны Detector</t>
  </si>
  <si>
    <t xml:space="preserve">Ч2-11</t>
  </si>
  <si>
    <t xml:space="preserve">Опционально: ограниченный захват заголовков пакетов (только при необходимости, с лимитом нагрузки).</t>
  </si>
  <si>
    <t xml:space="preserve">Нагрузка на CPU измерена</t>
  </si>
  <si>
    <t xml:space="preserve">Ч2-12</t>
  </si>
  <si>
    <t xml:space="preserve">8.4</t>
  </si>
  <si>
    <t xml:space="preserve">Присваивать каждому измерению уникальный идентификатор для корректной дедупликации при повторной доставке пакета.</t>
  </si>
  <si>
    <t xml:space="preserve">Повторная запись не искажает агрегаты</t>
  </si>
  <si>
    <t xml:space="preserve">Ч2-13</t>
  </si>
  <si>
    <t xml:space="preserve">3 / 11</t>
  </si>
  <si>
    <t xml:space="preserve">Передача метрик Detector без блокировок; Collector не должен блокироваться длительными запросами веб-панели.</t>
  </si>
  <si>
    <t xml:space="preserve">Collector стабилен при нагрузке API</t>
  </si>
  <si>
    <t xml:space="preserve">Ч2-14</t>
  </si>
  <si>
    <t xml:space="preserve">Unit-тесты Collector: сброс счётчиков, отсутствие файлов, пропуск интервалов.</t>
  </si>
  <si>
    <t xml:space="preserve">Тесты проходят</t>
  </si>
  <si>
    <t xml:space="preserve">tests/</t>
  </si>
  <si>
    <t xml:space="preserve">Ч2-15</t>
  </si>
  <si>
    <t xml:space="preserve">8</t>
  </si>
  <si>
    <t xml:space="preserve">Хранилище ClickHouse</t>
  </si>
  <si>
    <t xml:space="preserve">Подготовить скрипты инициализации/миграций для всех таблиц: users, protected_servers, protected_ports, traffic_metrics, connection_metrics, anomaly_events, firewall_rules, audit_logs, system_status.</t>
  </si>
  <si>
    <t xml:space="preserve">Схема создаётся из скриптов</t>
  </si>
  <si>
    <t xml:space="preserve">app/storage/</t>
  </si>
  <si>
    <t xml:space="preserve">Ч2-16</t>
  </si>
  <si>
    <t xml:space="preserve">8.3</t>
  </si>
  <si>
    <t xml:space="preserve">Выбрать движок и ключи: MergeTree, PARTITION BY toYYYYMM(timestamp), ORDER BY (server_id, timestamp); подобрать типы колонок (DateTime64, UInt64, Float64, LowCardinality(String), IPv4/IPv6).</t>
  </si>
  <si>
    <t xml:space="preserve">Выбор обоснован нагрузочным тестом</t>
  </si>
  <si>
    <t xml:space="preserve">Ч2-17</t>
  </si>
  <si>
    <t xml:space="preserve">Хранить все временные метки в UTC; события, аудит и состояние компонентов — в отдельных таблицах.</t>
  </si>
  <si>
    <t xml:space="preserve">Все времена в UTC</t>
  </si>
  <si>
    <t xml:space="preserve">Ч2-18</t>
  </si>
  <si>
    <t xml:space="preserve">Настроить TTL: детальные метрики 7 дней (затем удалять или агрегировать), отдельные сроки для событий и аудита.</t>
  </si>
  <si>
    <t xml:space="preserve">TTL проверен</t>
  </si>
  <si>
    <t xml:space="preserve">Ч2-19</t>
  </si>
  <si>
    <t xml:space="preserve">8.5</t>
  </si>
  <si>
    <t xml:space="preserve">Хранение конфигурации (серверы, пользователи, правила): версионируемые записи с выбором актуальной версии либо SQLite для транзакционных настроек.</t>
  </si>
  <si>
    <t xml:space="preserve">Решение принято и задокументировано</t>
  </si>
  <si>
    <t xml:space="preserve">app/storage/repository.py</t>
  </si>
  <si>
    <t xml:space="preserve">Ч2-20</t>
  </si>
  <si>
    <t xml:space="preserve">repository.py: слой Repository с валидацией данных и контролем конкурентных изменений.</t>
  </si>
  <si>
    <t xml:space="preserve">Конфигурации меняются через Repository</t>
  </si>
  <si>
    <t xml:space="preserve">Ч2-21</t>
  </si>
  <si>
    <t xml:space="preserve">models.py: типизированные модели данных для всех таблиц.</t>
  </si>
  <si>
    <t xml:space="preserve">Модели используются во всех модулях</t>
  </si>
  <si>
    <t xml:space="preserve">app/storage/models.py</t>
  </si>
  <si>
    <t xml:space="preserve">Ч2-22</t>
  </si>
  <si>
    <t xml:space="preserve">8.2</t>
  </si>
  <si>
    <t xml:space="preserve">Пакетная запись (batch insert): размер пакета и частота сброса настраиваются.</t>
  </si>
  <si>
    <t xml:space="preserve">Нет INSERT на каждое измерение</t>
  </si>
  <si>
    <t xml:space="preserve">Ч2-23</t>
  </si>
  <si>
    <t xml:space="preserve">8.7</t>
  </si>
  <si>
    <t xml:space="preserve">При недоступности ClickHouse: ограниченная очередь/буфер, счётчик потерь, журнал ошибки; без бесконтрольного роста памяти.</t>
  </si>
  <si>
    <t xml:space="preserve">Память не растёт при отказе БД</t>
  </si>
  <si>
    <t xml:space="preserve">Ч2-24</t>
  </si>
  <si>
    <t xml:space="preserve">Агрегирующие SELECT по диапазону времени и серверу; обязательное ограничение диапазона и числа строк.</t>
  </si>
  <si>
    <t xml:space="preserve">Запросы укладываются в лимиты</t>
  </si>
  <si>
    <t xml:space="preserve">Ч2-25</t>
  </si>
  <si>
    <t xml:space="preserve">Агрегация по корзинам для графиков 5 мин / 1 ч / 24 ч / 7 дн; materialized views и агрегирующие таблицы (минуты/часы).</t>
  </si>
  <si>
    <t xml:space="preserve">Графики строятся без выгрузки сырых данных</t>
  </si>
  <si>
    <t xml:space="preserve">Ч2-26</t>
  </si>
  <si>
    <t xml:space="preserve">Параметризованные запросы (без конкатенации ввода); ошибки подключения без раскрытия паролей и токенов.</t>
  </si>
  <si>
    <t xml:space="preserve">Секретов нет в логах</t>
  </si>
  <si>
    <t xml:space="preserve">Ч2-27</t>
  </si>
  <si>
    <t xml:space="preserve">Тесты БД: создание таблиц из скриптов, пакетная запись, чтение диапазона, фильтр по server_id, TTL и агрегаты.</t>
  </si>
  <si>
    <t xml:space="preserve">Ч2-28</t>
  </si>
  <si>
    <t xml:space="preserve">Тесты БД: поведение при недоступности ClickHouse, повторный запуск приложения, восстановление из резервной копии.</t>
  </si>
  <si>
    <t xml:space="preserve">Ч2-29</t>
  </si>
  <si>
    <t xml:space="preserve">6.5</t>
  </si>
  <si>
    <t xml:space="preserve">Определить входной/выходной интерфейс Detector: метрики за интервал → результат (балл, уровень, причины, предложенное действие).</t>
  </si>
  <si>
    <t xml:space="preserve">Согласовано с контрактом Decision</t>
  </si>
  <si>
    <t xml:space="preserve">app/detector/</t>
  </si>
  <si>
    <t xml:space="preserve">Ч2-30</t>
  </si>
  <si>
    <t xml:space="preserve">6.1</t>
  </si>
  <si>
    <t xml:space="preserve">Detector: алгоритм A</t>
  </si>
  <si>
    <t xml:space="preserve">thresholds.py: пороги на каждый сервер — максимум PPS, входящий трафик, новые TCP/с, UDP pps, новые источники за интервал, предельное число соединений.</t>
  </si>
  <si>
    <t xml:space="preserve">Пороги читаются из настроек сервера</t>
  </si>
  <si>
    <t xml:space="preserve">app/detector/thresholds.py</t>
  </si>
  <si>
    <t xml:space="preserve">Ч2-31</t>
  </si>
  <si>
    <t xml:space="preserve">Начисление баллов за превышение (напр. TCP +2, UDP +2, трафик +3); значения — не готовая конфигурация, а настраиваемые.</t>
  </si>
  <si>
    <t xml:space="preserve">Превышение даёт балл (A02, A03, A04)</t>
  </si>
  <si>
    <t xml:space="preserve">Ч2-32</t>
  </si>
  <si>
    <t xml:space="preserve">6.2</t>
  </si>
  <si>
    <t xml:space="preserve">Detector: алгоритм B</t>
  </si>
  <si>
    <t xml:space="preserve">ewma.py: EWMA-базовая линия, параметр α, коэффициент отклонения, минимальный базовый уровень.</t>
  </si>
  <si>
    <t xml:space="preserve">Отклонение в N раз даёт балл</t>
  </si>
  <si>
    <t xml:space="preserve">app/detector/ewma.py</t>
  </si>
  <si>
    <t xml:space="preserve">Ч2-33</t>
  </si>
  <si>
    <t xml:space="preserve">Параллельная проверка абсолютного порога (без ложных тревог при малом трафике); заморозка или осторожное обновление базовой линии во время атаки.</t>
  </si>
  <si>
    <t xml:space="preserve">Атака не становится «нормой»</t>
  </si>
  <si>
    <t xml:space="preserve">Ч2-34</t>
  </si>
  <si>
    <t xml:space="preserve">6.3</t>
  </si>
  <si>
    <t xml:space="preserve">Detector: алгоритм C</t>
  </si>
  <si>
    <t xml:space="preserve">statistics.py: среднее μ и σ по предыдущему окну (без текущего измерения).</t>
  </si>
  <si>
    <t xml:space="preserve">Базовая линия не включает текущее значение</t>
  </si>
  <si>
    <t xml:space="preserve">app/detector/statistics.py</t>
  </si>
  <si>
    <t xml:space="preserve">Ч2-35</t>
  </si>
  <si>
    <t xml:space="preserve">Медиана и MAD для пиковых метрик (PPS, соединения); сравнить с μ/σ на тестовых данных.</t>
  </si>
  <si>
    <t xml:space="preserve">Выбор метода обоснован</t>
  </si>
  <si>
    <t xml:space="preserve">Ч2-36</t>
  </si>
  <si>
    <t xml:space="preserve">6.4</t>
  </si>
  <si>
    <t xml:space="preserve">Detector: алгоритм D</t>
  </si>
  <si>
    <t xml:space="preserve">Признаки поведения источников: много новых TCP/с, высокая частота UDP, много обращений к одному порту, быстрый рост активности IP, много новых источников.</t>
  </si>
  <si>
    <t xml:space="preserve">Источник выявляется (A05, A06)</t>
  </si>
  <si>
    <t xml:space="preserve">Ч2-37</t>
  </si>
  <si>
    <t xml:space="preserve">Окно и агрегированные счётчики по IP; не блокировать адрес по единичному превышению (учесть NAT — за одним IP много игроков).</t>
  </si>
  <si>
    <t xml:space="preserve">A08 — легитимный пик не блокируется</t>
  </si>
  <si>
    <t xml:space="preserve">Ч2-38</t>
  </si>
  <si>
    <t xml:space="preserve">scoring.py: объединение алгоритмов в общий балл; шкала 0–1 нормальный, 2–3 низкий, 4–5 средний, 6+ высокий.</t>
  </si>
  <si>
    <t xml:space="preserve">Уровни присваиваются по шкале</t>
  </si>
  <si>
    <t xml:space="preserve">app/detector/scoring.py</t>
  </si>
  <si>
    <t xml:space="preserve">Ч2-39</t>
  </si>
  <si>
    <t xml:space="preserve">Балл сам по себе не основание для постоянной блокировки IP; формировать предложение действия из разрешённого списка.</t>
  </si>
  <si>
    <t xml:space="preserve">Постоянных блокировок нет</t>
  </si>
  <si>
    <t xml:space="preserve">Ч2-40</t>
  </si>
  <si>
    <t xml:space="preserve">Защита от ложных срабатываний: минимальное число последовательных превышений, время подтверждения, cooldown, постепенное усиление.</t>
  </si>
  <si>
    <t xml:space="preserve">A08 проходит</t>
  </si>
  <si>
    <t xml:space="preserve">Ч2-41</t>
  </si>
  <si>
    <t xml:space="preserve">6.8 / 3</t>
  </si>
  <si>
    <t xml:space="preserve">Формировать структурированное решение (Decision) для Rule Manager: сервер, уровень, балл, причины, действие, срок.</t>
  </si>
  <si>
    <t xml:space="preserve">Rule Manager принимает Decision</t>
  </si>
  <si>
    <t xml:space="preserve">app/detector/, app/firewall/</t>
  </si>
  <si>
    <t xml:space="preserve">Ч2-42</t>
  </si>
  <si>
    <t xml:space="preserve">Записывать события в anomaly_events: type, score, severity, details (причина срабатывания), action_status.</t>
  </si>
  <si>
    <t xml:space="preserve">Событие объяснимо</t>
  </si>
  <si>
    <t xml:space="preserve">Ч2-43</t>
  </si>
  <si>
    <t xml:space="preserve">Режим наблюдения: фиксировать аномалии и предлагаемые действия без изменения фильтрации.</t>
  </si>
  <si>
    <t xml:space="preserve">Подтверждено в 9.4</t>
  </si>
  <si>
    <t xml:space="preserve">Ч2-44</t>
  </si>
  <si>
    <t xml:space="preserve">A11/A12: ошибка источника метрик не трактуется как «нет трафика»; после перезапуска Detector базовая линия восстанавливается.</t>
  </si>
  <si>
    <t xml:space="preserve">A11 и A12 проходят</t>
  </si>
  <si>
    <t xml:space="preserve">Ч2-45</t>
  </si>
  <si>
    <t xml:space="preserve">Обеспечить время обнаружения ≤5 с в сценариях с подтверждением нескольких интервалов.</t>
  </si>
  <si>
    <t xml:space="preserve">Время измерено</t>
  </si>
  <si>
    <t xml:space="preserve">Ч2-46</t>
  </si>
  <si>
    <t xml:space="preserve">Unit-тесты: пороги, EWMA, статистика, scoring, граничные случаи.</t>
  </si>
  <si>
    <t xml:space="preserve">tests/test_detector.py проходит</t>
  </si>
  <si>
    <t xml:space="preserve">tests/test_detector.py</t>
  </si>
  <si>
    <t xml:space="preserve">Ч2-47</t>
  </si>
  <si>
    <t xml:space="preserve">Оценка качества</t>
  </si>
  <si>
    <t xml:space="preserve">Подготовить генератор тестовых профилей нагрузки (согласовать с Человеком 1): нормальная, постепенный рост, всплеск, UDP-флуд, много источников, легитимный пик.</t>
  </si>
  <si>
    <t xml:space="preserve">Профили воспроизводимы</t>
  </si>
  <si>
    <t xml:space="preserve">Ч2-48</t>
  </si>
  <si>
    <t xml:space="preserve">A01 — обычная низкая нагрузка: аномалия не регистрируется.</t>
  </si>
  <si>
    <t xml:space="preserve">Ч2-49</t>
  </si>
  <si>
    <t xml:space="preserve">A02 — постепенный рост TCP-соединений: превышение порога фиксируется.</t>
  </si>
  <si>
    <t xml:space="preserve">Ч2-50</t>
  </si>
  <si>
    <t xml:space="preserve">A03 — резкий всплеск новых TCP-соединений: событие с причиной.</t>
  </si>
  <si>
    <t xml:space="preserve">Ч2-51</t>
  </si>
  <si>
    <t xml:space="preserve">A04 — резкий рост UDP PPS: событие при выполнении условий.</t>
  </si>
  <si>
    <t xml:space="preserve">Ч2-52</t>
  </si>
  <si>
    <t xml:space="preserve">A05 — необычная активность одного источника (если есть метрики по IP).</t>
  </si>
  <si>
    <t xml:space="preserve">Ч2-53</t>
  </si>
  <si>
    <t xml:space="preserve">A06 — резкое увеличение числа источников: изменение распределения фиксируется.</t>
  </si>
  <si>
    <t xml:space="preserve">Ч2-54</t>
  </si>
  <si>
    <t xml:space="preserve">A07 — высокий трафик без высокой частоты соединений: аномалия по байтам или PPS.</t>
  </si>
  <si>
    <t xml:space="preserve">Ч2-55</t>
  </si>
  <si>
    <t xml:space="preserve">A08 — кратковременный легитимный пик: постоянная блокировка не вводится.</t>
  </si>
  <si>
    <t xml:space="preserve">Ч2-56</t>
  </si>
  <si>
    <t xml:space="preserve">A09 — длительное превышение нормы: событие сохраняется, применяется предусмотренное действие.</t>
  </si>
  <si>
    <t xml:space="preserve">Ч2-57</t>
  </si>
  <si>
    <t xml:space="preserve">A10 — снижение нагрузки: временные ограничения снимаются по политике.</t>
  </si>
  <si>
    <t xml:space="preserve">Ч2-58</t>
  </si>
  <si>
    <t xml:space="preserve">A11 — недоступность источника метрик: фиксируется ошибка сбора.</t>
  </si>
  <si>
    <t xml:space="preserve">Ч2-59</t>
  </si>
  <si>
    <t xml:space="preserve">A12 — перезапуск Detector: защита сохраняется, анализ восстанавливается.</t>
  </si>
  <si>
    <t xml:space="preserve">Ч2-60</t>
  </si>
  <si>
    <t xml:space="preserve">10.1</t>
  </si>
  <si>
    <t xml:space="preserve">Разметить каждый тестовый интервал (нормальный/аномальный); подсчитать TP, FN, FP, TN; отложенный набор не использовать при калибровке.</t>
  </si>
  <si>
    <t xml:space="preserve">Разметка зафиксирована</t>
  </si>
  <si>
    <t xml:space="preserve">Ч2-61</t>
  </si>
  <si>
    <t xml:space="preserve">Рассчитать Recall (цель ≥90%), Precision и FPR (цель ≤5% на нормальных интервалах).</t>
  </si>
  <si>
    <t xml:space="preserve">Метрики в таблице</t>
  </si>
  <si>
    <t xml:space="preserve">Ч2-62</t>
  </si>
  <si>
    <t xml:space="preserve">6.5 / 10</t>
  </si>
  <si>
    <t xml:space="preserve">Калибровка порогов и шкалы риска по тестовым данным; зафиксировать выбранные параметры (α, коэффициент, окно, пороги).</t>
  </si>
  <si>
    <t xml:space="preserve">Параметры задокументированы</t>
  </si>
  <si>
    <t xml:space="preserve">docs/</t>
  </si>
  <si>
    <t xml:space="preserve">Ч2-63</t>
  </si>
  <si>
    <t xml:space="preserve">Проверить повторяемость: повторные прогоны сценариев дают сопоставимые результаты.</t>
  </si>
  <si>
    <t xml:space="preserve">Разброс результатов описан</t>
  </si>
  <si>
    <t xml:space="preserve">Ч2-64</t>
  </si>
  <si>
    <t xml:space="preserve">Таблицы качества обнаружения, описание алгоритмов и параметров, ограничения подхода.</t>
  </si>
  <si>
    <t xml:space="preserve">Человек 3 — API, веб-панель, аутентификация, аудит, тесты безопасности</t>
  </si>
  <si>
    <t xml:space="preserve">Ч3-01</t>
  </si>
  <si>
    <t xml:space="preserve">12</t>
  </si>
  <si>
    <t xml:space="preserve">Каркас FastAPI: main.py, подключение роутеров, конфигурация из окружения (.env), структура модулей.</t>
  </si>
  <si>
    <t xml:space="preserve">Приложение запускается</t>
  </si>
  <si>
    <t xml:space="preserve">app/main.py</t>
  </si>
  <si>
    <t xml:space="preserve">Ч3-02</t>
  </si>
  <si>
    <t xml:space="preserve">Централизованная обработка ошибок и логирование без раскрытия секретов.</t>
  </si>
  <si>
    <t xml:space="preserve">Ч3-03</t>
  </si>
  <si>
    <t xml:space="preserve">7.3</t>
  </si>
  <si>
    <t xml:space="preserve">Валидация всех входных данных (pydantic): IPv4/IPv6, порт 1–65535, протокол TCP/UDP/оба, тип сервиса.</t>
  </si>
  <si>
    <t xml:space="preserve">Некорректный ввод отклоняется</t>
  </si>
  <si>
    <t xml:space="preserve">app/api/</t>
  </si>
  <si>
    <t xml:space="preserve">Ч3-04</t>
  </si>
  <si>
    <t xml:space="preserve">api/servers.py: добавление и изменение защищаемого сервера (название, IP, порты, протокол, тип сервиса, внутренний IP и порт, статус защиты, профиль).</t>
  </si>
  <si>
    <t xml:space="preserve">CRUD работает</t>
  </si>
  <si>
    <t xml:space="preserve">app/api/servers.py</t>
  </si>
  <si>
    <t xml:space="preserve">Ч3-05</t>
  </si>
  <si>
    <t xml:space="preserve">Несколько серверов с независимыми правилами: изменение одного не меняет остальные.</t>
  </si>
  <si>
    <t xml:space="preserve">Проверено тестом</t>
  </si>
  <si>
    <t xml:space="preserve">Ч3-06</t>
  </si>
  <si>
    <t xml:space="preserve">7.2</t>
  </si>
  <si>
    <t xml:space="preserve">api/metrics.py: график трафика и соединений по серверу и диапазону (5 мин, 1 ч, 24 ч, 7 дн) с агрегированием и ограничением строк.</t>
  </si>
  <si>
    <t xml:space="preserve">Ответ ограничен по размеру</t>
  </si>
  <si>
    <t xml:space="preserve">app/api/metrics.py</t>
  </si>
  <si>
    <t xml:space="preserve">Ч3-07</t>
  </si>
  <si>
    <t xml:space="preserve">Возвращать явный признак «нет данных» / «сбор недоступен», а не нулевые значения.</t>
  </si>
  <si>
    <t xml:space="preserve">API не подменяет пропуск нулём</t>
  </si>
  <si>
    <t xml:space="preserve">Ч3-08</t>
  </si>
  <si>
    <t xml:space="preserve">api/events.py: список событий с фильтрами (сервер, время, протокол, уровень риска, тип действия) и пагинацией.</t>
  </si>
  <si>
    <t xml:space="preserve">Фильтры работают</t>
  </si>
  <si>
    <t xml:space="preserve">app/api/events.py</t>
  </si>
  <si>
    <t xml:space="preserve">Ч3-09</t>
  </si>
  <si>
    <t xml:space="preserve">api/rules.py: список активных, временных и постоянных правил; применение разрешённого правила; снятие правила.</t>
  </si>
  <si>
    <t xml:space="preserve">Только предусмотренные операции</t>
  </si>
  <si>
    <t xml:space="preserve">app/api/rules.py</t>
  </si>
  <si>
    <t xml:space="preserve">Ч3-10</t>
  </si>
  <si>
    <t xml:space="preserve">API настроек: пороги, интервалы сбора, режим обнаружения (наблюдение/авто), включение и отключение автодействий.</t>
  </si>
  <si>
    <t xml:space="preserve">Изменения записываются в аудит</t>
  </si>
  <si>
    <t xml:space="preserve">Ч3-11</t>
  </si>
  <si>
    <t xml:space="preserve">API безопасности и статуса: состояние служб, ошибки конфигурации, system_status.</t>
  </si>
  <si>
    <t xml:space="preserve">Данные для страницы «Безопасность»</t>
  </si>
  <si>
    <t xml:space="preserve">Ч3-12</t>
  </si>
  <si>
    <t xml:space="preserve">7.3 / 11</t>
  </si>
  <si>
    <t xml:space="preserve">Взаимодействие с Rule Manager через ограниченный интерфейс; выполнение произвольных shell-команд из запросов невозможно.</t>
  </si>
  <si>
    <t xml:space="preserve">Тест 9.6: shell-команда отклонена</t>
  </si>
  <si>
    <t xml:space="preserve">Ч3-13</t>
  </si>
  <si>
    <t xml:space="preserve">Запросы к БД не блокируют Collector (таймауты, ограничения времени).</t>
  </si>
  <si>
    <t xml:space="preserve">Collector не страдает при долгом запросе</t>
  </si>
  <si>
    <t xml:space="preserve">Ч3-14</t>
  </si>
  <si>
    <t xml:space="preserve">Аутентификация</t>
  </si>
  <si>
    <t xml:space="preserve">Вход по логину и паролю; хранение пароля только в виде стойкого хеша (argon2/bcrypt); создание администратора через CLI.</t>
  </si>
  <si>
    <t xml:space="preserve">Пароль в открытом виде нигде не хранится</t>
  </si>
  <si>
    <t xml:space="preserve">app/api/auth.py</t>
  </si>
  <si>
    <t xml:space="preserve">Ч3-15</t>
  </si>
  <si>
    <t xml:space="preserve">Защищённая сессия: cookie с Secure, HttpOnly, SameSite; срок жизни и выход; ключ сессии из окружения.</t>
  </si>
  <si>
    <t xml:space="preserve">Атрибуты cookie проверены</t>
  </si>
  <si>
    <t xml:space="preserve">app/security/sessions.py</t>
  </si>
  <si>
    <t xml:space="preserve">Ч3-16</t>
  </si>
  <si>
    <t xml:space="preserve">Ограничение частоты попыток входа.</t>
  </si>
  <si>
    <t xml:space="preserve">Блокировка после N попыток</t>
  </si>
  <si>
    <t xml:space="preserve">Ч3-17</t>
  </si>
  <si>
    <t xml:space="preserve">HTTPS для удалённого доступа (nginx/uvicorn + сертификат), редирект с HTTP.</t>
  </si>
  <si>
    <t xml:space="preserve">Панель доступна только по HTTPS</t>
  </si>
  <si>
    <t xml:space="preserve">deploy/</t>
  </si>
  <si>
    <t xml:space="preserve">Ч3-18</t>
  </si>
  <si>
    <t xml:space="preserve">7.3 / 9.6</t>
  </si>
  <si>
    <t xml:space="preserve">CSRF-защита, если используются cookie-сессии.</t>
  </si>
  <si>
    <t xml:space="preserve">CSRF-тест проходит</t>
  </si>
  <si>
    <t xml:space="preserve">app/security/</t>
  </si>
  <si>
    <t xml:space="preserve">Ч3-19</t>
  </si>
  <si>
    <t xml:space="preserve">Запрет доступа ко всем маршрутам API и страницам без авторизации.</t>
  </si>
  <si>
    <t xml:space="preserve">T12 проходит</t>
  </si>
  <si>
    <t xml:space="preserve">Ч3-20</t>
  </si>
  <si>
    <t xml:space="preserve">7.3 / 8</t>
  </si>
  <si>
    <t xml:space="preserve">Аудит</t>
  </si>
  <si>
    <t xml:space="preserve">audit.py: журналирование успешных и неуспешных входов, изменений конфигурации и действий администратора в audit_logs.</t>
  </si>
  <si>
    <t xml:space="preserve">Каждое действие записано</t>
  </si>
  <si>
    <t xml:space="preserve">app/security/audit.py</t>
  </si>
  <si>
    <t xml:space="preserve">Ч3-21</t>
  </si>
  <si>
    <t xml:space="preserve">Не писать пароли, токены и секреты в журналы.</t>
  </si>
  <si>
    <t xml:space="preserve">Проверено grep по логам</t>
  </si>
  <si>
    <t xml:space="preserve">Ч3-22</t>
  </si>
  <si>
    <t xml:space="preserve">Страница входа и выхода.</t>
  </si>
  <si>
    <t xml:space="preserve">Работает с сессиями</t>
  </si>
  <si>
    <t xml:space="preserve">web/templates/</t>
  </si>
  <si>
    <t xml:space="preserve">Ч3-23</t>
  </si>
  <si>
    <t xml:space="preserve">7.1</t>
  </si>
  <si>
    <t xml:space="preserve">Dashboard: общая нагрузка, состояние шлюза, активные события, состояние защиты (по реальным данным).</t>
  </si>
  <si>
    <t xml:space="preserve">Показывает актуальное состояние</t>
  </si>
  <si>
    <t xml:space="preserve">web/</t>
  </si>
  <si>
    <t xml:space="preserve">Ч3-24</t>
  </si>
  <si>
    <t xml:space="preserve">«Серверы»: список защищаемых IP, портов, протоколов и профилей; добавление/изменение.</t>
  </si>
  <si>
    <t xml:space="preserve">Форма с валидацией</t>
  </si>
  <si>
    <t xml:space="preserve">Ч3-25</t>
  </si>
  <si>
    <t xml:space="preserve">«Трафик»: графики входящего и исходящего трафика, PPS, TCP/UDP-активности (Chart.js), интервалы 5 мин / 1 ч / 24 ч / 7 дн.</t>
  </si>
  <si>
    <t xml:space="preserve">Графики переключаются</t>
  </si>
  <si>
    <t xml:space="preserve">web/static/</t>
  </si>
  <si>
    <t xml:space="preserve">Ч3-26</t>
  </si>
  <si>
    <t xml:space="preserve">«Соединения»: доступные данные conntrack, динамика новых соединений.</t>
  </si>
  <si>
    <t xml:space="preserve">Данные отображаются</t>
  </si>
  <si>
    <t xml:space="preserve">Ч3-27</t>
  </si>
  <si>
    <t xml:space="preserve">«События»: время, сервер, признаки аномалии, уровень риска, результат обработки; фильтры по серверу, времени, протоколу, уровню и типу действия.</t>
  </si>
  <si>
    <t xml:space="preserve">Ч3-28</t>
  </si>
  <si>
    <t xml:space="preserve">«Правила»: активные, временные, постоянные правила и сроки действия.</t>
  </si>
  <si>
    <t xml:space="preserve">Видны сроки и статусы</t>
  </si>
  <si>
    <t xml:space="preserve">Ч3-29</t>
  </si>
  <si>
    <t xml:space="preserve">«Статистика»: история нагрузки, срабатываний, блокировок и ограничений.</t>
  </si>
  <si>
    <t xml:space="preserve">Агрегаты за период</t>
  </si>
  <si>
    <t xml:space="preserve">Ч3-30</t>
  </si>
  <si>
    <t xml:space="preserve">«Настройки»: пороги, интервалы сбора, режим обнаружения, параметры защиты, ручное отключение автодействий.</t>
  </si>
  <si>
    <t xml:space="preserve">Изменения применяются и логируются</t>
  </si>
  <si>
    <t xml:space="preserve">Ч3-31</t>
  </si>
  <si>
    <t xml:space="preserve">«Безопасность»: состояние служб, правила базовой защиты Linux, ошибки конфигурации.</t>
  </si>
  <si>
    <t xml:space="preserve">Показывает результаты check_security</t>
  </si>
  <si>
    <t xml:space="preserve">Ч3-32</t>
  </si>
  <si>
    <t xml:space="preserve">«Аудит»: история входов, изменения конфигурации и действия администратора.</t>
  </si>
  <si>
    <t xml:space="preserve">Данные из audit_logs</t>
  </si>
  <si>
    <t xml:space="preserve">Ч3-33</t>
  </si>
  <si>
    <t xml:space="preserve">Показывать «Нет данных» или «Сбор недоступен» вместо нулевого трафика.</t>
  </si>
  <si>
    <t xml:space="preserve">Проверено при остановленном Collector</t>
  </si>
  <si>
    <t xml:space="preserve">Ч3-34</t>
  </si>
  <si>
    <t xml:space="preserve">Хранение времени в UTC, отображение в часовом поясе пользователя/системы.</t>
  </si>
  <si>
    <t xml:space="preserve">Часовой пояс корректен</t>
  </si>
  <si>
    <t xml:space="preserve">Ч3-35</t>
  </si>
  <si>
    <t xml:space="preserve">Индикатор режима (наблюдение / авто) и подтверждение критичных действий.</t>
  </si>
  <si>
    <t xml:space="preserve">Пользователь видит режим</t>
  </si>
  <si>
    <t xml:space="preserve">Ч3-36</t>
  </si>
  <si>
    <t xml:space="preserve">T11 — проверка веб-панели: доступные страницы отображают актуальные данные.</t>
  </si>
  <si>
    <t xml:space="preserve">Ч3-37</t>
  </si>
  <si>
    <t xml:space="preserve">T12 — неавторизованный пользователь не может управлять защитой.</t>
  </si>
  <si>
    <t xml:space="preserve">tests/test_auth.py</t>
  </si>
  <si>
    <t xml:space="preserve">Ч3-38</t>
  </si>
  <si>
    <t xml:space="preserve">9.6</t>
  </si>
  <si>
    <t xml:space="preserve">Неверный пароль и многократные попытки входа.</t>
  </si>
  <si>
    <t xml:space="preserve">Лимит срабатывает</t>
  </si>
  <si>
    <t xml:space="preserve">Ч3-39</t>
  </si>
  <si>
    <t xml:space="preserve">Запросы к API без авторизации; истёкшая сессия.</t>
  </si>
  <si>
    <t xml:space="preserve">Доступ закрыт</t>
  </si>
  <si>
    <t xml:space="preserve">Ч3-40</t>
  </si>
  <si>
    <t xml:space="preserve">CSRF-проверка (при cookie-сессиях).</t>
  </si>
  <si>
    <t xml:space="preserve">Ч3-41</t>
  </si>
  <si>
    <t xml:space="preserve">Некорректные IP, порт, протокол; попытка добавить запрещённое правило.</t>
  </si>
  <si>
    <t xml:space="preserve">Отклоняется</t>
  </si>
  <si>
    <t xml:space="preserve">tests/test_api.py</t>
  </si>
  <si>
    <t xml:space="preserve">Ч3-42</t>
  </si>
  <si>
    <t xml:space="preserve">Попытка передать shell-команду вместо параметров действия.</t>
  </si>
  <si>
    <t xml:space="preserve">Ч3-43</t>
  </si>
  <si>
    <t xml:space="preserve">Отсутствие паролей и секретов в журналах; ограничение доступа к конфигурационным файлам и базе данных.</t>
  </si>
  <si>
    <t xml:space="preserve">Проверено</t>
  </si>
  <si>
    <t xml:space="preserve">Ч3-44</t>
  </si>
  <si>
    <t xml:space="preserve">Автотесты API и аутентификации.</t>
  </si>
  <si>
    <t xml:space="preserve">pytest проходит</t>
  </si>
  <si>
    <t xml:space="preserve">tests/test_api.py, tests/test_auth.py</t>
  </si>
  <si>
    <t xml:space="preserve">Ч3-45</t>
  </si>
  <si>
    <t xml:space="preserve">Документация API (OpenAPI), описание панели, руководство администратора.</t>
  </si>
  <si>
    <t xml:space="preserve">Ч3-46</t>
  </si>
  <si>
    <t xml:space="preserve">Сборка единой документации проекта и анализ ограничений и направлений развития.</t>
  </si>
  <si>
    <t xml:space="preserve">docs/ собрана</t>
  </si>
  <si>
    <t xml:space="preserve">Общие задачи всей команды</t>
  </si>
  <si>
    <t xml:space="preserve">ОБ-01</t>
  </si>
  <si>
    <t xml:space="preserve">3 / 13</t>
  </si>
  <si>
    <t xml:space="preserve">Контракты</t>
  </si>
  <si>
    <t xml:space="preserve">Согласовать форматы данных между модулями: Metrics, Decision, Rule, Event (pydantic) и список разрешённых действий; принцип «Python не обрабатывает каждый пакет».</t>
  </si>
  <si>
    <t xml:space="preserve">Модели закоммичены</t>
  </si>
  <si>
    <t xml:space="preserve">ОБ-02</t>
  </si>
  <si>
    <t xml:space="preserve">Организация</t>
  </si>
  <si>
    <t xml:space="preserve">Договориться о ветках, ревью merge request и регулярных встречах.</t>
  </si>
  <si>
    <t xml:space="preserve">Правила записаны в README</t>
  </si>
  <si>
    <t xml:space="preserve">README.md</t>
  </si>
  <si>
    <t xml:space="preserve">ОБ-03</t>
  </si>
  <si>
    <t xml:space="preserve">Сквозная интеграция Collector → Detector → Rule Manager → API → панель в режиме наблюдения.</t>
  </si>
  <si>
    <t xml:space="preserve">Событие видно в панели</t>
  </si>
  <si>
    <t xml:space="preserve">весь проект</t>
  </si>
  <si>
    <t xml:space="preserve">ОБ-04</t>
  </si>
  <si>
    <t xml:space="preserve">Включить автоматический режим и проверить главный критерий: аномалия → событие в панели → автоматическое ограниченное правило; при остановке Python базовая фильтрация работает.</t>
  </si>
  <si>
    <t xml:space="preserve">Главный критерий ТЗ выполнен</t>
  </si>
  <si>
    <t xml:space="preserve">ОБ-05</t>
  </si>
  <si>
    <t xml:space="preserve">Повторить ключевые тесты после исправлений (повторяемость).</t>
  </si>
  <si>
    <t xml:space="preserve">Результаты сопоставимы</t>
  </si>
  <si>
    <t xml:space="preserve">ОБ-06</t>
  </si>
  <si>
    <t xml:space="preserve">2 / 13</t>
  </si>
  <si>
    <t xml:space="preserve">Описать границы проекта и ограничения: не защищает от перегрузки внешнего канала, не заменяет глобальную защиту, не анализирует каждый пакет в Python, IP ≠ пользователь (NAT).</t>
  </si>
  <si>
    <t xml:space="preserve">Раздел «Ограничения»</t>
  </si>
  <si>
    <t xml:space="preserve">ОБ-07</t>
  </si>
  <si>
    <t xml:space="preserve">Описать направления развития: несколько шлюзов, расширенный сбор метрик, настройка алгоритмов.</t>
  </si>
  <si>
    <t xml:space="preserve">Раздел «Развитие»</t>
  </si>
  <si>
    <t xml:space="preserve">ОБ-08</t>
  </si>
  <si>
    <t xml:space="preserve">Итоговый комплект</t>
  </si>
  <si>
    <t xml:space="preserve">Исходный код Python-приложения; скрипты установки и безопасности Linux; конфигурация маршрутизации и nftables.</t>
  </si>
  <si>
    <t xml:space="preserve">Всё в репозитории</t>
  </si>
  <si>
    <t xml:space="preserve">репозиторий</t>
  </si>
  <si>
    <t xml:space="preserve">ОБ-09</t>
  </si>
  <si>
    <t xml:space="preserve">Веб-панель; алгоритмы обнаружения; автоматическое применение правил; автотесты основных модулей.</t>
  </si>
  <si>
    <t xml:space="preserve">ОБ-10</t>
  </si>
  <si>
    <t xml:space="preserve">Описание стенда и сценариев; таблицы измерений производительности и качества; инструкция по установке, настройке, резервному копированию и восстановлению.</t>
  </si>
  <si>
    <t xml:space="preserve">Всё в docs/ и lab/</t>
  </si>
  <si>
    <t xml:space="preserve">ОБ-11</t>
  </si>
  <si>
    <t xml:space="preserve">Защита</t>
  </si>
  <si>
    <t xml:space="preserve">Подготовить демонстрацию: запуск стенда, нормальный трафик, контролируемая аномалия, событие в панели, автоправило.</t>
  </si>
  <si>
    <t xml:space="preserve">Репетиция демо пройдена</t>
  </si>
  <si>
    <t xml:space="preserve">ОБ-12</t>
  </si>
  <si>
    <t xml:space="preserve">Подготовить итоговый отчёт и презентацию для защиты.</t>
  </si>
  <si>
    <t xml:space="preserve">Отчёт и слайды готовы</t>
  </si>
  <si>
    <t xml:space="preserve">План по неделям (12 недель)</t>
  </si>
  <si>
    <t xml:space="preserve">Недели</t>
  </si>
  <si>
    <t xml:space="preserve">Этап</t>
  </si>
  <si>
    <t xml:space="preserve">1</t>
  </si>
  <si>
    <t xml:space="preserve">Стенд, репозиторий, структура netshield/</t>
  </si>
  <si>
    <t xml:space="preserve">Схема ClickHouse, модели метрик</t>
  </si>
  <si>
    <t xml:space="preserve">1 (вместе)</t>
  </si>
  <si>
    <t xml:space="preserve">Согласовать Metrics, Decision, Rule, Event и список разрешённых действий</t>
  </si>
  <si>
    <t xml:space="preserve">То же</t>
  </si>
  <si>
    <t xml:space="preserve">2–3</t>
  </si>
  <si>
    <t xml:space="preserve">Основа</t>
  </si>
  <si>
    <t xml:space="preserve">Forwarding, NAT, базовые таблицы nftables, тесты T01–T07</t>
  </si>
  <si>
    <t xml:space="preserve">Collector по интерфейсам, PPS/bps, запись в ClickHouse батчами</t>
  </si>
  <si>
    <t xml:space="preserve">Auth, сессии, таблица users, базовые API серверов</t>
  </si>
  <si>
    <t xml:space="preserve">4–5</t>
  </si>
  <si>
    <t xml:space="preserve">Ядро</t>
  </si>
  <si>
    <t xml:space="preserve">rule_manager, validation, rate limit, TTL и снятие правил</t>
  </si>
  <si>
    <t xml:space="preserve">Алгоритмы A и B, scoring, подтверждение интервалов, cooldown</t>
  </si>
  <si>
    <t xml:space="preserve">CRUD серверов и портов, страницы «Серверы», «Трафик», графики</t>
  </si>
  <si>
    <t xml:space="preserve">6</t>
  </si>
  <si>
    <t xml:space="preserve">Первая интеграция</t>
  </si>
  <si>
    <t xml:space="preserve">Collector → Detector → Rule Manager в режиме наблюдения</t>
  </si>
  <si>
    <t xml:space="preserve">Панель показывает реальные метрики и события</t>
  </si>
  <si>
    <t xml:space="preserve">7–8</t>
  </si>
  <si>
    <t xml:space="preserve">Расширение</t>
  </si>
  <si>
    <t xml:space="preserve">Скрипты безопасности, backup/restore, systemd, T08–T10</t>
  </si>
  <si>
    <t xml:space="preserve">Алгоритмы C и D, conntrack и per-IP счётчики, whitelist</t>
  </si>
  <si>
    <t xml:space="preserve">События, правила, настройки, аудит, фильтры, test_api</t>
  </si>
  <si>
    <t xml:space="preserve">9</t>
  </si>
  <si>
    <t xml:space="preserve">Автоматический режим</t>
  </si>
  <si>
    <t xml:space="preserve">Автоприменение правил, тесты раздела 9.4</t>
  </si>
  <si>
    <t xml:space="preserve">Калибровка порогов и шкалы риска</t>
  </si>
  <si>
    <t xml:space="preserve">Страница «Безопасность», проверки 9.6</t>
  </si>
  <si>
    <t xml:space="preserve">Испытания</t>
  </si>
  <si>
    <t xml:space="preserve">Замеры производительности (4 режима × ≥5 повторов, CSV)</t>
  </si>
  <si>
    <t xml:space="preserve">Сценарии A01–A12, Recall, FPR</t>
  </si>
  <si>
    <t xml:space="preserve">Тесты авторизации, CSRF, некорректного ввода</t>
  </si>
  <si>
    <t xml:space="preserve">Исправления</t>
  </si>
  <si>
    <t xml:space="preserve">Баги по результатам стенда, check_security.sh</t>
  </si>
  <si>
    <t xml:space="preserve">Баги и перекалибровка</t>
  </si>
  <si>
    <t xml:space="preserve">Баги UI/API, полировка</t>
  </si>
  <si>
    <t xml:space="preserve">Инструкция установки и восстановления</t>
  </si>
  <si>
    <t xml:space="preserve">Таблицы качества обнаружения</t>
  </si>
  <si>
    <t xml:space="preserve">Сборка документации, анализ ограничений, демо</t>
  </si>
  <si>
    <t xml:space="preserve">Контрольные точки и рекомендации</t>
  </si>
  <si>
    <t xml:space="preserve">Неделя</t>
  </si>
  <si>
    <t xml:space="preserve">Контрольная точка</t>
  </si>
  <si>
    <t xml:space="preserve">Критерий выполнения</t>
  </si>
  <si>
    <t xml:space="preserve">Контракты интерфейсов согласованы</t>
  </si>
  <si>
    <t xml:space="preserve">Описаны и закоммичены модели Metrics, Decision, Rule, Event; все работают с заглушками</t>
  </si>
  <si>
    <t xml:space="preserve">Сквозной сценарий</t>
  </si>
  <si>
    <t xml:space="preserve">Аномалия на одном пороге → событие → отображение в панели (режим наблюдения)</t>
  </si>
  <si>
    <t xml:space="preserve">Главный критерий ТЗ</t>
  </si>
  <si>
    <t xml:space="preserve">Контролируемая аномалия, событие в панели, автоматическое правило; защита работает при остановленном Python</t>
  </si>
  <si>
    <t xml:space="preserve">Испытания завершены</t>
  </si>
  <si>
    <t xml:space="preserve">Тесты T01–T12, A01–A12, замеры производительности и качества выполнены</t>
  </si>
  <si>
    <t xml:space="preserve">Финальная сдача</t>
  </si>
  <si>
    <t xml:space="preserve">Документация, таблицы измерений, отчёт, демо-сценарий готовы</t>
  </si>
  <si>
    <t xml:space="preserve">Рекомендации</t>
  </si>
  <si>
    <t xml:space="preserve">•</t>
  </si>
  <si>
    <t xml:space="preserve">Контракты интерфейсов на первой неделе — главное условие параллельной работы (используйте mock-заглушки).</t>
  </si>
  <si>
    <t xml:space="preserve">Алгоритмы C и D и детализация по IP самые рискованные: при нехватке времени достаточно A + B + режим наблюдения, остальное описать как направления развития.</t>
  </si>
  <si>
    <t xml:space="preserve">Git: ветки по слоям, merge request с ревью от соседа по интеграции (1↔2, 2↔3).</t>
  </si>
  <si>
    <t xml:space="preserve">Сроки (12 недель) — допущение; при другой длительности измените недели старта и конца на листе «Задачи».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</si>
</sst>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;;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2E75B6"/>
        </patternFill>
      </fill>
    </dxf>
    <dxf>
      <fill>
        <patternFill>
          <bgColor rgb="FF548235"/>
        </patternFill>
      </fill>
    </dxf>
    <dxf>
      <fill>
        <patternFill>
          <bgColor rgb="FFC55A11"/>
        </patternFill>
      </fill>
    </dxf>
    <dxf>
      <fill>
        <patternFill>
          <bgColor rgb="FF7F7F7F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EDEDE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42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3" min="10" style="0" width="13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42" hidden="false" customHeight="true" outlineLevel="0" collapsed="false">
      <c r="A5" s="5" t="s">
        <v>15</v>
      </c>
      <c r="B5" s="6"/>
      <c r="C5" s="7" t="s">
        <v>16</v>
      </c>
      <c r="D5" s="7" t="s">
        <v>17</v>
      </c>
      <c r="E5" s="7" t="n">
        <f aca="false">COUNTIF(Задачи!$B$5:$B$48,A5)</f>
        <v>14</v>
      </c>
      <c r="F5" s="7" t="n">
        <f aca="false">COUNTIFS(Задачи!$B$5:$B$48,A5,Задачи!$H$5:$H$48,"В работе")</f>
        <v>0</v>
      </c>
      <c r="G5" s="7" t="n">
        <f aca="false">COUNTIFS(Задачи!$B$5:$B$48,A5,Задачи!$H$5:$H$48,"Готово")</f>
        <v>0</v>
      </c>
      <c r="H5" s="8" t="n">
        <f aca="false">IF(E5=0,0,G5/E5)</f>
        <v>0</v>
      </c>
      <c r="I5" s="7" t="n">
        <f aca="false">SUMIF(Задачи!$B$5:$B$48,A5,Задачи!$G$5:$G$48)</f>
        <v>23</v>
      </c>
      <c r="J5" s="9" t="n">
        <f aca="false">COUNTA('Ч1 подробно'!$A$5:$A$76)</f>
        <v>72</v>
      </c>
      <c r="K5" s="9" t="n">
        <f aca="false">COUNTIF('Ч1 подробно'!$I$5:$I$76,"В работе")</f>
        <v>0</v>
      </c>
      <c r="L5" s="9" t="n">
        <f aca="false">COUNTIF('Ч1 подробно'!$I$5:$I$76,"Готово")</f>
        <v>0</v>
      </c>
      <c r="M5" s="10" t="n">
        <f aca="false">IF(J5=0,0,L5/J5)</f>
        <v>0</v>
      </c>
    </row>
    <row r="6" customFormat="false" ht="42" hidden="false" customHeight="true" outlineLevel="0" collapsed="false">
      <c r="A6" s="11" t="s">
        <v>18</v>
      </c>
      <c r="B6" s="6"/>
      <c r="C6" s="7" t="s">
        <v>19</v>
      </c>
      <c r="D6" s="7" t="s">
        <v>20</v>
      </c>
      <c r="E6" s="7" t="n">
        <f aca="false">COUNTIF(Задачи!$B$5:$B$48,A6)</f>
        <v>13</v>
      </c>
      <c r="F6" s="7" t="n">
        <f aca="false">COUNTIFS(Задачи!$B$5:$B$48,A6,Задачи!$H$5:$H$48,"В работе")</f>
        <v>0</v>
      </c>
      <c r="G6" s="7" t="n">
        <f aca="false">COUNTIFS(Задачи!$B$5:$B$48,A6,Задачи!$H$5:$H$48,"Готово")</f>
        <v>0</v>
      </c>
      <c r="H6" s="8" t="n">
        <f aca="false">IF(E6=0,0,G6/E6)</f>
        <v>0</v>
      </c>
      <c r="I6" s="7" t="n">
        <f aca="false">SUMIF(Задачи!$B$5:$B$48,A6,Задачи!$G$5:$G$48)</f>
        <v>24</v>
      </c>
      <c r="J6" s="9" t="n">
        <f aca="false">COUNTA('Ч2 подробно'!$A$5:$A$68)</f>
        <v>64</v>
      </c>
      <c r="K6" s="9" t="n">
        <f aca="false">COUNTIF('Ч2 подробно'!$I$5:$I$68,"В работе")</f>
        <v>0</v>
      </c>
      <c r="L6" s="9" t="n">
        <f aca="false">COUNTIF('Ч2 подробно'!$I$5:$I$68,"Готово")</f>
        <v>0</v>
      </c>
      <c r="M6" s="10" t="n">
        <f aca="false">IF(J6=0,0,L6/J6)</f>
        <v>0</v>
      </c>
    </row>
    <row r="7" customFormat="false" ht="42" hidden="false" customHeight="true" outlineLevel="0" collapsed="false">
      <c r="A7" s="12" t="s">
        <v>21</v>
      </c>
      <c r="B7" s="6"/>
      <c r="C7" s="7" t="s">
        <v>22</v>
      </c>
      <c r="D7" s="7" t="s">
        <v>23</v>
      </c>
      <c r="E7" s="7" t="n">
        <f aca="false">COUNTIF(Задачи!$B$5:$B$48,A7)</f>
        <v>13</v>
      </c>
      <c r="F7" s="7" t="n">
        <f aca="false">COUNTIFS(Задачи!$B$5:$B$48,A7,Задачи!$H$5:$H$48,"В работе")</f>
        <v>0</v>
      </c>
      <c r="G7" s="7" t="n">
        <f aca="false">COUNTIFS(Задачи!$B$5:$B$48,A7,Задачи!$H$5:$H$48,"Готово")</f>
        <v>0</v>
      </c>
      <c r="H7" s="8" t="n">
        <f aca="false">IF(E7=0,0,G7/E7)</f>
        <v>0</v>
      </c>
      <c r="I7" s="7" t="n">
        <f aca="false">SUMIF(Задачи!$B$5:$B$48,A7,Задачи!$G$5:$G$48)</f>
        <v>21</v>
      </c>
      <c r="J7" s="9" t="n">
        <f aca="false">COUNTA('Ч3 подробно'!$A$5:$A$50)</f>
        <v>46</v>
      </c>
      <c r="K7" s="9" t="n">
        <f aca="false">COUNTIF('Ч3 подробно'!$I$5:$I$50,"В работе")</f>
        <v>0</v>
      </c>
      <c r="L7" s="9" t="n">
        <f aca="false">COUNTIF('Ч3 подробно'!$I$5:$I$50,"Готово")</f>
        <v>0</v>
      </c>
      <c r="M7" s="10" t="n">
        <f aca="false">IF(J7=0,0,L7/J7)</f>
        <v>0</v>
      </c>
    </row>
    <row r="8" customFormat="false" ht="42" hidden="false" customHeight="true" outlineLevel="0" collapsed="false">
      <c r="A8" s="13" t="s">
        <v>24</v>
      </c>
      <c r="B8" s="6" t="s">
        <v>25</v>
      </c>
      <c r="C8" s="7" t="s">
        <v>26</v>
      </c>
      <c r="D8" s="7" t="s">
        <v>27</v>
      </c>
      <c r="E8" s="7" t="n">
        <f aca="false">COUNTIF(Задачи!$B$5:$B$48,A8)</f>
        <v>4</v>
      </c>
      <c r="F8" s="7" t="n">
        <f aca="false">COUNTIFS(Задачи!$B$5:$B$48,A8,Задачи!$H$5:$H$48,"В работе")</f>
        <v>0</v>
      </c>
      <c r="G8" s="7" t="n">
        <f aca="false">COUNTIFS(Задачи!$B$5:$B$48,A8,Задачи!$H$5:$H$48,"Готово")</f>
        <v>0</v>
      </c>
      <c r="H8" s="8" t="n">
        <f aca="false">IF(E8=0,0,G8/E8)</f>
        <v>0</v>
      </c>
      <c r="I8" s="7" t="n">
        <f aca="false">SUMIF(Задачи!$B$5:$B$48,A8,Задачи!$G$5:$G$48)</f>
        <v>4</v>
      </c>
      <c r="J8" s="9" t="n">
        <f aca="false">COUNTA('Общие подробно'!$A$5:$A$16)</f>
        <v>12</v>
      </c>
      <c r="K8" s="9" t="n">
        <f aca="false">COUNTIF('Общие подробно'!$I$5:$I$16,"В работе")</f>
        <v>0</v>
      </c>
      <c r="L8" s="9" t="n">
        <f aca="false">COUNTIF('Общие подробно'!$I$5:$I$16,"Готово")</f>
        <v>0</v>
      </c>
      <c r="M8" s="10" t="n">
        <f aca="false">IF(J8=0,0,L8/J8)</f>
        <v>0</v>
      </c>
    </row>
    <row r="9" customFormat="false" ht="15" hidden="false" customHeight="true" outlineLevel="0" collapsed="false">
      <c r="A9" s="14" t="s">
        <v>28</v>
      </c>
      <c r="B9" s="14"/>
      <c r="C9" s="14"/>
      <c r="D9" s="14"/>
      <c r="E9" s="14" t="n">
        <f aca="false">SUM(E5:E8)</f>
        <v>44</v>
      </c>
      <c r="F9" s="14" t="n">
        <f aca="false">SUM(F5:F8)</f>
        <v>0</v>
      </c>
      <c r="G9" s="14" t="n">
        <f aca="false">SUM(G5:G8)</f>
        <v>0</v>
      </c>
      <c r="H9" s="15" t="n">
        <f aca="false">IF(E9=0,0,G9/E9)</f>
        <v>0</v>
      </c>
      <c r="I9" s="14" t="n">
        <f aca="false">SUM(I5:I8)</f>
        <v>72</v>
      </c>
      <c r="J9" s="16" t="n">
        <f aca="false">SUM(J5:J8)</f>
        <v>194</v>
      </c>
      <c r="K9" s="16" t="n">
        <f aca="false">SUM(K5:K8)</f>
        <v>0</v>
      </c>
      <c r="L9" s="16" t="n">
        <f aca="false">SUM(L5:L8)</f>
        <v>0</v>
      </c>
      <c r="M9" s="17" t="n">
        <f aca="false">IF(J9=0,0,L9/J9)</f>
        <v>0</v>
      </c>
    </row>
    <row r="11" customFormat="false" ht="15" hidden="false" customHeight="false" outlineLevel="0" collapsed="false">
      <c r="A11" s="1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70"/>
    <col collapsed="false" customWidth="true" hidden="false" outlineLevel="0" max="7" min="5" style="1" width="9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21" min="10" style="1" width="4.5"/>
  </cols>
  <sheetData>
    <row r="1" customFormat="false" ht="17.25" hidden="false" customHeight="true" outlineLevel="0" collapsed="false">
      <c r="A1" s="2" t="s">
        <v>30</v>
      </c>
    </row>
    <row r="2" customFormat="false" ht="27.75" hidden="false" customHeight="true" outlineLevel="0" collapsed="false">
      <c r="A2" s="19" t="s">
        <v>31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customFormat="false" ht="15" hidden="false" customHeight="true" outlineLevel="0" collapsed="false">
      <c r="J3" s="20" t="s">
        <v>32</v>
      </c>
    </row>
    <row r="4" customFormat="false" ht="30" hidden="false" customHeight="true" outlineLevel="0" collapsed="false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n">
        <v>1</v>
      </c>
      <c r="K4" s="4" t="n">
        <v>2</v>
      </c>
      <c r="L4" s="4" t="n">
        <v>3</v>
      </c>
      <c r="M4" s="4" t="n">
        <v>4</v>
      </c>
      <c r="N4" s="4" t="n">
        <v>5</v>
      </c>
      <c r="O4" s="4" t="n">
        <v>6</v>
      </c>
      <c r="P4" s="4" t="n">
        <v>7</v>
      </c>
      <c r="Q4" s="4" t="n">
        <v>8</v>
      </c>
      <c r="R4" s="4" t="n">
        <v>9</v>
      </c>
      <c r="S4" s="4" t="n">
        <v>10</v>
      </c>
      <c r="T4" s="4" t="n">
        <v>11</v>
      </c>
      <c r="U4" s="4" t="n">
        <v>12</v>
      </c>
    </row>
    <row r="5" customFormat="false" ht="23.25" hidden="false" customHeight="true" outlineLevel="0" collapsed="false">
      <c r="A5" s="21" t="s">
        <v>42</v>
      </c>
      <c r="B5" s="22" t="s">
        <v>24</v>
      </c>
      <c r="C5" s="7" t="s">
        <v>43</v>
      </c>
      <c r="D5" s="7" t="s">
        <v>44</v>
      </c>
      <c r="E5" s="23" t="n">
        <v>1</v>
      </c>
      <c r="F5" s="23" t="n">
        <v>1</v>
      </c>
      <c r="G5" s="21" t="n">
        <f aca="false">F5-E5+1</f>
        <v>1</v>
      </c>
      <c r="H5" s="23" t="s">
        <v>45</v>
      </c>
      <c r="I5" s="7"/>
      <c r="J5" s="24" t="n">
        <f aca="false">IF(AND(J$4&gt;=$E5,J$4&lt;=$F5),1,"")</f>
        <v>1</v>
      </c>
      <c r="K5" s="24" t="str">
        <f aca="false">IF(AND(K$4&gt;=$E5,K$4&lt;=$F5),1,"")</f>
        <v/>
      </c>
      <c r="L5" s="24" t="str">
        <f aca="false">IF(AND(L$4&gt;=$E5,L$4&lt;=$F5),1,"")</f>
        <v/>
      </c>
      <c r="M5" s="24" t="str">
        <f aca="false">IF(AND(M$4&gt;=$E5,M$4&lt;=$F5),1,"")</f>
        <v/>
      </c>
      <c r="N5" s="24" t="str">
        <f aca="false">IF(AND(N$4&gt;=$E5,N$4&lt;=$F5),1,"")</f>
        <v/>
      </c>
      <c r="O5" s="24" t="str">
        <f aca="false">IF(AND(O$4&gt;=$E5,O$4&lt;=$F5),1,"")</f>
        <v/>
      </c>
      <c r="P5" s="24" t="str">
        <f aca="false">IF(AND(P$4&gt;=$E5,P$4&lt;=$F5),1,"")</f>
        <v/>
      </c>
      <c r="Q5" s="24" t="str">
        <f aca="false">IF(AND(Q$4&gt;=$E5,Q$4&lt;=$F5),1,"")</f>
        <v/>
      </c>
      <c r="R5" s="24" t="str">
        <f aca="false">IF(AND(R$4&gt;=$E5,R$4&lt;=$F5),1,"")</f>
        <v/>
      </c>
      <c r="S5" s="24" t="str">
        <f aca="false">IF(AND(S$4&gt;=$E5,S$4&lt;=$F5),1,"")</f>
        <v/>
      </c>
      <c r="T5" s="24" t="str">
        <f aca="false">IF(AND(T$4&gt;=$E5,T$4&lt;=$F5),1,"")</f>
        <v/>
      </c>
      <c r="U5" s="24" t="str">
        <f aca="false">IF(AND(U$4&gt;=$E5,U$4&lt;=$F5),1,"")</f>
        <v/>
      </c>
    </row>
    <row r="6" customFormat="false" ht="15" hidden="false" customHeight="true" outlineLevel="0" collapsed="false">
      <c r="A6" s="21" t="s">
        <v>46</v>
      </c>
      <c r="B6" s="25" t="s">
        <v>15</v>
      </c>
      <c r="C6" s="7" t="s">
        <v>47</v>
      </c>
      <c r="D6" s="7" t="s">
        <v>48</v>
      </c>
      <c r="E6" s="23" t="n">
        <v>1</v>
      </c>
      <c r="F6" s="23" t="n">
        <v>1</v>
      </c>
      <c r="G6" s="21" t="n">
        <f aca="false">F6-E6+1</f>
        <v>1</v>
      </c>
      <c r="H6" s="23" t="s">
        <v>45</v>
      </c>
      <c r="I6" s="7"/>
      <c r="J6" s="24" t="n">
        <f aca="false">IF(AND(J$4&gt;=$E6,J$4&lt;=$F6),1,"")</f>
        <v>1</v>
      </c>
      <c r="K6" s="24" t="str">
        <f aca="false">IF(AND(K$4&gt;=$E6,K$4&lt;=$F6),1,"")</f>
        <v/>
      </c>
      <c r="L6" s="24" t="str">
        <f aca="false">IF(AND(L$4&gt;=$E6,L$4&lt;=$F6),1,"")</f>
        <v/>
      </c>
      <c r="M6" s="24" t="str">
        <f aca="false">IF(AND(M$4&gt;=$E6,M$4&lt;=$F6),1,"")</f>
        <v/>
      </c>
      <c r="N6" s="24" t="str">
        <f aca="false">IF(AND(N$4&gt;=$E6,N$4&lt;=$F6),1,"")</f>
        <v/>
      </c>
      <c r="O6" s="24" t="str">
        <f aca="false">IF(AND(O$4&gt;=$E6,O$4&lt;=$F6),1,"")</f>
        <v/>
      </c>
      <c r="P6" s="24" t="str">
        <f aca="false">IF(AND(P$4&gt;=$E6,P$4&lt;=$F6),1,"")</f>
        <v/>
      </c>
      <c r="Q6" s="24" t="str">
        <f aca="false">IF(AND(Q$4&gt;=$E6,Q$4&lt;=$F6),1,"")</f>
        <v/>
      </c>
      <c r="R6" s="24" t="str">
        <f aca="false">IF(AND(R$4&gt;=$E6,R$4&lt;=$F6),1,"")</f>
        <v/>
      </c>
      <c r="S6" s="24" t="str">
        <f aca="false">IF(AND(S$4&gt;=$E6,S$4&lt;=$F6),1,"")</f>
        <v/>
      </c>
      <c r="T6" s="24" t="str">
        <f aca="false">IF(AND(T$4&gt;=$E6,T$4&lt;=$F6),1,"")</f>
        <v/>
      </c>
      <c r="U6" s="24" t="str">
        <f aca="false">IF(AND(U$4&gt;=$E6,U$4&lt;=$F6),1,"")</f>
        <v/>
      </c>
    </row>
    <row r="7" customFormat="false" ht="23.25" hidden="false" customHeight="true" outlineLevel="0" collapsed="false">
      <c r="A7" s="21" t="s">
        <v>49</v>
      </c>
      <c r="B7" s="25" t="s">
        <v>15</v>
      </c>
      <c r="C7" s="7" t="s">
        <v>47</v>
      </c>
      <c r="D7" s="7" t="s">
        <v>50</v>
      </c>
      <c r="E7" s="23" t="n">
        <v>1</v>
      </c>
      <c r="F7" s="23" t="n">
        <v>2</v>
      </c>
      <c r="G7" s="21" t="n">
        <f aca="false">F7-E7+1</f>
        <v>2</v>
      </c>
      <c r="H7" s="23" t="s">
        <v>45</v>
      </c>
      <c r="I7" s="7"/>
      <c r="J7" s="24" t="n">
        <f aca="false">IF(AND(J$4&gt;=$E7,J$4&lt;=$F7),1,"")</f>
        <v>1</v>
      </c>
      <c r="K7" s="24" t="n">
        <f aca="false">IF(AND(K$4&gt;=$E7,K$4&lt;=$F7),1,"")</f>
        <v>1</v>
      </c>
      <c r="L7" s="24" t="str">
        <f aca="false">IF(AND(L$4&gt;=$E7,L$4&lt;=$F7),1,"")</f>
        <v/>
      </c>
      <c r="M7" s="24" t="str">
        <f aca="false">IF(AND(M$4&gt;=$E7,M$4&lt;=$F7),1,"")</f>
        <v/>
      </c>
      <c r="N7" s="24" t="str">
        <f aca="false">IF(AND(N$4&gt;=$E7,N$4&lt;=$F7),1,"")</f>
        <v/>
      </c>
      <c r="O7" s="24" t="str">
        <f aca="false">IF(AND(O$4&gt;=$E7,O$4&lt;=$F7),1,"")</f>
        <v/>
      </c>
      <c r="P7" s="24" t="str">
        <f aca="false">IF(AND(P$4&gt;=$E7,P$4&lt;=$F7),1,"")</f>
        <v/>
      </c>
      <c r="Q7" s="24" t="str">
        <f aca="false">IF(AND(Q$4&gt;=$E7,Q$4&lt;=$F7),1,"")</f>
        <v/>
      </c>
      <c r="R7" s="24" t="str">
        <f aca="false">IF(AND(R$4&gt;=$E7,R$4&lt;=$F7),1,"")</f>
        <v/>
      </c>
      <c r="S7" s="24" t="str">
        <f aca="false">IF(AND(S$4&gt;=$E7,S$4&lt;=$F7),1,"")</f>
        <v/>
      </c>
      <c r="T7" s="24" t="str">
        <f aca="false">IF(AND(T$4&gt;=$E7,T$4&lt;=$F7),1,"")</f>
        <v/>
      </c>
      <c r="U7" s="24" t="str">
        <f aca="false">IF(AND(U$4&gt;=$E7,U$4&lt;=$F7),1,"")</f>
        <v/>
      </c>
    </row>
    <row r="8" customFormat="false" ht="15" hidden="false" customHeight="true" outlineLevel="0" collapsed="false">
      <c r="A8" s="21" t="s">
        <v>51</v>
      </c>
      <c r="B8" s="25" t="s">
        <v>15</v>
      </c>
      <c r="C8" s="7" t="s">
        <v>52</v>
      </c>
      <c r="D8" s="7" t="s">
        <v>53</v>
      </c>
      <c r="E8" s="23" t="n">
        <v>2</v>
      </c>
      <c r="F8" s="23" t="n">
        <v>3</v>
      </c>
      <c r="G8" s="21" t="n">
        <f aca="false">F8-E8+1</f>
        <v>2</v>
      </c>
      <c r="H8" s="23" t="s">
        <v>45</v>
      </c>
      <c r="I8" s="7" t="s">
        <v>49</v>
      </c>
      <c r="J8" s="24" t="str">
        <f aca="false">IF(AND(J$4&gt;=$E8,J$4&lt;=$F8),1,"")</f>
        <v/>
      </c>
      <c r="K8" s="24" t="n">
        <f aca="false">IF(AND(K$4&gt;=$E8,K$4&lt;=$F8),1,"")</f>
        <v>1</v>
      </c>
      <c r="L8" s="24" t="n">
        <f aca="false">IF(AND(L$4&gt;=$E8,L$4&lt;=$F8),1,"")</f>
        <v>1</v>
      </c>
      <c r="M8" s="24" t="str">
        <f aca="false">IF(AND(M$4&gt;=$E8,M$4&lt;=$F8),1,"")</f>
        <v/>
      </c>
      <c r="N8" s="24" t="str">
        <f aca="false">IF(AND(N$4&gt;=$E8,N$4&lt;=$F8),1,"")</f>
        <v/>
      </c>
      <c r="O8" s="24" t="str">
        <f aca="false">IF(AND(O$4&gt;=$E8,O$4&lt;=$F8),1,"")</f>
        <v/>
      </c>
      <c r="P8" s="24" t="str">
        <f aca="false">IF(AND(P$4&gt;=$E8,P$4&lt;=$F8),1,"")</f>
        <v/>
      </c>
      <c r="Q8" s="24" t="str">
        <f aca="false">IF(AND(Q$4&gt;=$E8,Q$4&lt;=$F8),1,"")</f>
        <v/>
      </c>
      <c r="R8" s="24" t="str">
        <f aca="false">IF(AND(R$4&gt;=$E8,R$4&lt;=$F8),1,"")</f>
        <v/>
      </c>
      <c r="S8" s="24" t="str">
        <f aca="false">IF(AND(S$4&gt;=$E8,S$4&lt;=$F8),1,"")</f>
        <v/>
      </c>
      <c r="T8" s="24" t="str">
        <f aca="false">IF(AND(T$4&gt;=$E8,T$4&lt;=$F8),1,"")</f>
        <v/>
      </c>
      <c r="U8" s="24" t="str">
        <f aca="false">IF(AND(U$4&gt;=$E8,U$4&lt;=$F8),1,"")</f>
        <v/>
      </c>
    </row>
    <row r="9" customFormat="false" ht="15" hidden="false" customHeight="true" outlineLevel="0" collapsed="false">
      <c r="A9" s="21" t="s">
        <v>54</v>
      </c>
      <c r="B9" s="25" t="s">
        <v>15</v>
      </c>
      <c r="C9" s="7" t="s">
        <v>55</v>
      </c>
      <c r="D9" s="7" t="s">
        <v>56</v>
      </c>
      <c r="E9" s="23" t="n">
        <v>2</v>
      </c>
      <c r="F9" s="23" t="n">
        <v>3</v>
      </c>
      <c r="G9" s="21" t="n">
        <f aca="false">F9-E9+1</f>
        <v>2</v>
      </c>
      <c r="H9" s="23" t="s">
        <v>45</v>
      </c>
      <c r="I9" s="7" t="s">
        <v>49</v>
      </c>
      <c r="J9" s="24" t="str">
        <f aca="false">IF(AND(J$4&gt;=$E9,J$4&lt;=$F9),1,"")</f>
        <v/>
      </c>
      <c r="K9" s="24" t="n">
        <f aca="false">IF(AND(K$4&gt;=$E9,K$4&lt;=$F9),1,"")</f>
        <v>1</v>
      </c>
      <c r="L9" s="24" t="n">
        <f aca="false">IF(AND(L$4&gt;=$E9,L$4&lt;=$F9),1,"")</f>
        <v>1</v>
      </c>
      <c r="M9" s="24" t="str">
        <f aca="false">IF(AND(M$4&gt;=$E9,M$4&lt;=$F9),1,"")</f>
        <v/>
      </c>
      <c r="N9" s="24" t="str">
        <f aca="false">IF(AND(N$4&gt;=$E9,N$4&lt;=$F9),1,"")</f>
        <v/>
      </c>
      <c r="O9" s="24" t="str">
        <f aca="false">IF(AND(O$4&gt;=$E9,O$4&lt;=$F9),1,"")</f>
        <v/>
      </c>
      <c r="P9" s="24" t="str">
        <f aca="false">IF(AND(P$4&gt;=$E9,P$4&lt;=$F9),1,"")</f>
        <v/>
      </c>
      <c r="Q9" s="24" t="str">
        <f aca="false">IF(AND(Q$4&gt;=$E9,Q$4&lt;=$F9),1,"")</f>
        <v/>
      </c>
      <c r="R9" s="24" t="str">
        <f aca="false">IF(AND(R$4&gt;=$E9,R$4&lt;=$F9),1,"")</f>
        <v/>
      </c>
      <c r="S9" s="24" t="str">
        <f aca="false">IF(AND(S$4&gt;=$E9,S$4&lt;=$F9),1,"")</f>
        <v/>
      </c>
      <c r="T9" s="24" t="str">
        <f aca="false">IF(AND(T$4&gt;=$E9,T$4&lt;=$F9),1,"")</f>
        <v/>
      </c>
      <c r="U9" s="24" t="str">
        <f aca="false">IF(AND(U$4&gt;=$E9,U$4&lt;=$F9),1,"")</f>
        <v/>
      </c>
    </row>
    <row r="10" customFormat="false" ht="15" hidden="false" customHeight="true" outlineLevel="0" collapsed="false">
      <c r="A10" s="21" t="s">
        <v>57</v>
      </c>
      <c r="B10" s="25" t="s">
        <v>15</v>
      </c>
      <c r="C10" s="7" t="s">
        <v>58</v>
      </c>
      <c r="D10" s="7" t="s">
        <v>59</v>
      </c>
      <c r="E10" s="23" t="n">
        <v>3</v>
      </c>
      <c r="F10" s="23" t="n">
        <v>4</v>
      </c>
      <c r="G10" s="21" t="n">
        <f aca="false">F10-E10+1</f>
        <v>2</v>
      </c>
      <c r="H10" s="23" t="s">
        <v>45</v>
      </c>
      <c r="I10" s="7" t="s">
        <v>60</v>
      </c>
      <c r="J10" s="24" t="str">
        <f aca="false">IF(AND(J$4&gt;=$E10,J$4&lt;=$F10),1,"")</f>
        <v/>
      </c>
      <c r="K10" s="24" t="str">
        <f aca="false">IF(AND(K$4&gt;=$E10,K$4&lt;=$F10),1,"")</f>
        <v/>
      </c>
      <c r="L10" s="24" t="n">
        <f aca="false">IF(AND(L$4&gt;=$E10,L$4&lt;=$F10),1,"")</f>
        <v>1</v>
      </c>
      <c r="M10" s="24" t="n">
        <f aca="false">IF(AND(M$4&gt;=$E10,M$4&lt;=$F10),1,"")</f>
        <v>1</v>
      </c>
      <c r="N10" s="24" t="str">
        <f aca="false">IF(AND(N$4&gt;=$E10,N$4&lt;=$F10),1,"")</f>
        <v/>
      </c>
      <c r="O10" s="24" t="str">
        <f aca="false">IF(AND(O$4&gt;=$E10,O$4&lt;=$F10),1,"")</f>
        <v/>
      </c>
      <c r="P10" s="24" t="str">
        <f aca="false">IF(AND(P$4&gt;=$E10,P$4&lt;=$F10),1,"")</f>
        <v/>
      </c>
      <c r="Q10" s="24" t="str">
        <f aca="false">IF(AND(Q$4&gt;=$E10,Q$4&lt;=$F10),1,"")</f>
        <v/>
      </c>
      <c r="R10" s="24" t="str">
        <f aca="false">IF(AND(R$4&gt;=$E10,R$4&lt;=$F10),1,"")</f>
        <v/>
      </c>
      <c r="S10" s="24" t="str">
        <f aca="false">IF(AND(S$4&gt;=$E10,S$4&lt;=$F10),1,"")</f>
        <v/>
      </c>
      <c r="T10" s="24" t="str">
        <f aca="false">IF(AND(T$4&gt;=$E10,T$4&lt;=$F10),1,"")</f>
        <v/>
      </c>
      <c r="U10" s="24" t="str">
        <f aca="false">IF(AND(U$4&gt;=$E10,U$4&lt;=$F10),1,"")</f>
        <v/>
      </c>
    </row>
    <row r="11" customFormat="false" ht="15" hidden="false" customHeight="true" outlineLevel="0" collapsed="false">
      <c r="A11" s="21" t="s">
        <v>61</v>
      </c>
      <c r="B11" s="25" t="s">
        <v>15</v>
      </c>
      <c r="C11" s="7" t="s">
        <v>55</v>
      </c>
      <c r="D11" s="7" t="s">
        <v>62</v>
      </c>
      <c r="E11" s="23" t="n">
        <v>4</v>
      </c>
      <c r="F11" s="23" t="n">
        <v>5</v>
      </c>
      <c r="G11" s="21" t="n">
        <f aca="false">F11-E11+1</f>
        <v>2</v>
      </c>
      <c r="H11" s="23" t="s">
        <v>45</v>
      </c>
      <c r="I11" s="7" t="s">
        <v>42</v>
      </c>
      <c r="J11" s="24" t="str">
        <f aca="false">IF(AND(J$4&gt;=$E11,J$4&lt;=$F11),1,"")</f>
        <v/>
      </c>
      <c r="K11" s="24" t="str">
        <f aca="false">IF(AND(K$4&gt;=$E11,K$4&lt;=$F11),1,"")</f>
        <v/>
      </c>
      <c r="L11" s="24" t="str">
        <f aca="false">IF(AND(L$4&gt;=$E11,L$4&lt;=$F11),1,"")</f>
        <v/>
      </c>
      <c r="M11" s="24" t="n">
        <f aca="false">IF(AND(M$4&gt;=$E11,M$4&lt;=$F11),1,"")</f>
        <v>1</v>
      </c>
      <c r="N11" s="24" t="n">
        <f aca="false">IF(AND(N$4&gt;=$E11,N$4&lt;=$F11),1,"")</f>
        <v>1</v>
      </c>
      <c r="O11" s="24" t="str">
        <f aca="false">IF(AND(O$4&gt;=$E11,O$4&lt;=$F11),1,"")</f>
        <v/>
      </c>
      <c r="P11" s="24" t="str">
        <f aca="false">IF(AND(P$4&gt;=$E11,P$4&lt;=$F11),1,"")</f>
        <v/>
      </c>
      <c r="Q11" s="24" t="str">
        <f aca="false">IF(AND(Q$4&gt;=$E11,Q$4&lt;=$F11),1,"")</f>
        <v/>
      </c>
      <c r="R11" s="24" t="str">
        <f aca="false">IF(AND(R$4&gt;=$E11,R$4&lt;=$F11),1,"")</f>
        <v/>
      </c>
      <c r="S11" s="24" t="str">
        <f aca="false">IF(AND(S$4&gt;=$E11,S$4&lt;=$F11),1,"")</f>
        <v/>
      </c>
      <c r="T11" s="24" t="str">
        <f aca="false">IF(AND(T$4&gt;=$E11,T$4&lt;=$F11),1,"")</f>
        <v/>
      </c>
      <c r="U11" s="24" t="str">
        <f aca="false">IF(AND(U$4&gt;=$E11,U$4&lt;=$F11),1,"")</f>
        <v/>
      </c>
    </row>
    <row r="12" customFormat="false" ht="23.25" hidden="false" customHeight="true" outlineLevel="0" collapsed="false">
      <c r="A12" s="21" t="s">
        <v>63</v>
      </c>
      <c r="B12" s="25" t="s">
        <v>15</v>
      </c>
      <c r="C12" s="7" t="s">
        <v>55</v>
      </c>
      <c r="D12" s="7" t="s">
        <v>64</v>
      </c>
      <c r="E12" s="23" t="n">
        <v>4</v>
      </c>
      <c r="F12" s="23" t="n">
        <v>5</v>
      </c>
      <c r="G12" s="21" t="n">
        <f aca="false">F12-E12+1</f>
        <v>2</v>
      </c>
      <c r="H12" s="23" t="s">
        <v>45</v>
      </c>
      <c r="I12" s="7" t="s">
        <v>61</v>
      </c>
      <c r="J12" s="24" t="str">
        <f aca="false">IF(AND(J$4&gt;=$E12,J$4&lt;=$F12),1,"")</f>
        <v/>
      </c>
      <c r="K12" s="24" t="str">
        <f aca="false">IF(AND(K$4&gt;=$E12,K$4&lt;=$F12),1,"")</f>
        <v/>
      </c>
      <c r="L12" s="24" t="str">
        <f aca="false">IF(AND(L$4&gt;=$E12,L$4&lt;=$F12),1,"")</f>
        <v/>
      </c>
      <c r="M12" s="24" t="n">
        <f aca="false">IF(AND(M$4&gt;=$E12,M$4&lt;=$F12),1,"")</f>
        <v>1</v>
      </c>
      <c r="N12" s="24" t="n">
        <f aca="false">IF(AND(N$4&gt;=$E12,N$4&lt;=$F12),1,"")</f>
        <v>1</v>
      </c>
      <c r="O12" s="24" t="str">
        <f aca="false">IF(AND(O$4&gt;=$E12,O$4&lt;=$F12),1,"")</f>
        <v/>
      </c>
      <c r="P12" s="24" t="str">
        <f aca="false">IF(AND(P$4&gt;=$E12,P$4&lt;=$F12),1,"")</f>
        <v/>
      </c>
      <c r="Q12" s="24" t="str">
        <f aca="false">IF(AND(Q$4&gt;=$E12,Q$4&lt;=$F12),1,"")</f>
        <v/>
      </c>
      <c r="R12" s="24" t="str">
        <f aca="false">IF(AND(R$4&gt;=$E12,R$4&lt;=$F12),1,"")</f>
        <v/>
      </c>
      <c r="S12" s="24" t="str">
        <f aca="false">IF(AND(S$4&gt;=$E12,S$4&lt;=$F12),1,"")</f>
        <v/>
      </c>
      <c r="T12" s="24" t="str">
        <f aca="false">IF(AND(T$4&gt;=$E12,T$4&lt;=$F12),1,"")</f>
        <v/>
      </c>
      <c r="U12" s="24" t="str">
        <f aca="false">IF(AND(U$4&gt;=$E12,U$4&lt;=$F12),1,"")</f>
        <v/>
      </c>
    </row>
    <row r="13" customFormat="false" ht="15" hidden="false" customHeight="true" outlineLevel="0" collapsed="false">
      <c r="A13" s="21" t="s">
        <v>65</v>
      </c>
      <c r="B13" s="25" t="s">
        <v>15</v>
      </c>
      <c r="C13" s="7" t="s">
        <v>66</v>
      </c>
      <c r="D13" s="7" t="s">
        <v>67</v>
      </c>
      <c r="E13" s="23" t="n">
        <v>7</v>
      </c>
      <c r="F13" s="23" t="n">
        <v>8</v>
      </c>
      <c r="G13" s="21" t="n">
        <f aca="false">F13-E13+1</f>
        <v>2</v>
      </c>
      <c r="H13" s="23" t="s">
        <v>45</v>
      </c>
      <c r="I13" s="7" t="s">
        <v>51</v>
      </c>
      <c r="J13" s="24" t="str">
        <f aca="false">IF(AND(J$4&gt;=$E13,J$4&lt;=$F13),1,"")</f>
        <v/>
      </c>
      <c r="K13" s="24" t="str">
        <f aca="false">IF(AND(K$4&gt;=$E13,K$4&lt;=$F13),1,"")</f>
        <v/>
      </c>
      <c r="L13" s="24" t="str">
        <f aca="false">IF(AND(L$4&gt;=$E13,L$4&lt;=$F13),1,"")</f>
        <v/>
      </c>
      <c r="M13" s="24" t="str">
        <f aca="false">IF(AND(M$4&gt;=$E13,M$4&lt;=$F13),1,"")</f>
        <v/>
      </c>
      <c r="N13" s="24" t="str">
        <f aca="false">IF(AND(N$4&gt;=$E13,N$4&lt;=$F13),1,"")</f>
        <v/>
      </c>
      <c r="O13" s="24" t="str">
        <f aca="false">IF(AND(O$4&gt;=$E13,O$4&lt;=$F13),1,"")</f>
        <v/>
      </c>
      <c r="P13" s="24" t="n">
        <f aca="false">IF(AND(P$4&gt;=$E13,P$4&lt;=$F13),1,"")</f>
        <v>1</v>
      </c>
      <c r="Q13" s="24" t="n">
        <f aca="false">IF(AND(Q$4&gt;=$E13,Q$4&lt;=$F13),1,"")</f>
        <v>1</v>
      </c>
      <c r="R13" s="24" t="str">
        <f aca="false">IF(AND(R$4&gt;=$E13,R$4&lt;=$F13),1,"")</f>
        <v/>
      </c>
      <c r="S13" s="24" t="str">
        <f aca="false">IF(AND(S$4&gt;=$E13,S$4&lt;=$F13),1,"")</f>
        <v/>
      </c>
      <c r="T13" s="24" t="str">
        <f aca="false">IF(AND(T$4&gt;=$E13,T$4&lt;=$F13),1,"")</f>
        <v/>
      </c>
      <c r="U13" s="24" t="str">
        <f aca="false">IF(AND(U$4&gt;=$E13,U$4&lt;=$F13),1,"")</f>
        <v/>
      </c>
    </row>
    <row r="14" customFormat="false" ht="15" hidden="false" customHeight="true" outlineLevel="0" collapsed="false">
      <c r="A14" s="21" t="s">
        <v>68</v>
      </c>
      <c r="B14" s="25" t="s">
        <v>15</v>
      </c>
      <c r="C14" s="7" t="s">
        <v>66</v>
      </c>
      <c r="D14" s="7" t="s">
        <v>69</v>
      </c>
      <c r="E14" s="23" t="n">
        <v>7</v>
      </c>
      <c r="F14" s="23" t="n">
        <v>8</v>
      </c>
      <c r="G14" s="21" t="n">
        <f aca="false">F14-E14+1</f>
        <v>2</v>
      </c>
      <c r="H14" s="23" t="s">
        <v>45</v>
      </c>
      <c r="I14" s="7" t="s">
        <v>63</v>
      </c>
      <c r="J14" s="24" t="str">
        <f aca="false">IF(AND(J$4&gt;=$E14,J$4&lt;=$F14),1,"")</f>
        <v/>
      </c>
      <c r="K14" s="24" t="str">
        <f aca="false">IF(AND(K$4&gt;=$E14,K$4&lt;=$F14),1,"")</f>
        <v/>
      </c>
      <c r="L14" s="24" t="str">
        <f aca="false">IF(AND(L$4&gt;=$E14,L$4&lt;=$F14),1,"")</f>
        <v/>
      </c>
      <c r="M14" s="24" t="str">
        <f aca="false">IF(AND(M$4&gt;=$E14,M$4&lt;=$F14),1,"")</f>
        <v/>
      </c>
      <c r="N14" s="24" t="str">
        <f aca="false">IF(AND(N$4&gt;=$E14,N$4&lt;=$F14),1,"")</f>
        <v/>
      </c>
      <c r="O14" s="24" t="str">
        <f aca="false">IF(AND(O$4&gt;=$E14,O$4&lt;=$F14),1,"")</f>
        <v/>
      </c>
      <c r="P14" s="24" t="n">
        <f aca="false">IF(AND(P$4&gt;=$E14,P$4&lt;=$F14),1,"")</f>
        <v>1</v>
      </c>
      <c r="Q14" s="24" t="n">
        <f aca="false">IF(AND(Q$4&gt;=$E14,Q$4&lt;=$F14),1,"")</f>
        <v>1</v>
      </c>
      <c r="R14" s="24" t="str">
        <f aca="false">IF(AND(R$4&gt;=$E14,R$4&lt;=$F14),1,"")</f>
        <v/>
      </c>
      <c r="S14" s="24" t="str">
        <f aca="false">IF(AND(S$4&gt;=$E14,S$4&lt;=$F14),1,"")</f>
        <v/>
      </c>
      <c r="T14" s="24" t="str">
        <f aca="false">IF(AND(T$4&gt;=$E14,T$4&lt;=$F14),1,"")</f>
        <v/>
      </c>
      <c r="U14" s="24" t="str">
        <f aca="false">IF(AND(U$4&gt;=$E14,U$4&lt;=$F14),1,"")</f>
        <v/>
      </c>
    </row>
    <row r="15" customFormat="false" ht="15" hidden="false" customHeight="true" outlineLevel="0" collapsed="false">
      <c r="A15" s="21" t="s">
        <v>70</v>
      </c>
      <c r="B15" s="25" t="s">
        <v>15</v>
      </c>
      <c r="C15" s="7" t="s">
        <v>58</v>
      </c>
      <c r="D15" s="7" t="s">
        <v>71</v>
      </c>
      <c r="E15" s="23" t="n">
        <v>7</v>
      </c>
      <c r="F15" s="23" t="n">
        <v>8</v>
      </c>
      <c r="G15" s="21" t="n">
        <f aca="false">F15-E15+1</f>
        <v>2</v>
      </c>
      <c r="H15" s="23" t="s">
        <v>45</v>
      </c>
      <c r="I15" s="7" t="s">
        <v>72</v>
      </c>
      <c r="J15" s="24" t="str">
        <f aca="false">IF(AND(J$4&gt;=$E15,J$4&lt;=$F15),1,"")</f>
        <v/>
      </c>
      <c r="K15" s="24" t="str">
        <f aca="false">IF(AND(K$4&gt;=$E15,K$4&lt;=$F15),1,"")</f>
        <v/>
      </c>
      <c r="L15" s="24" t="str">
        <f aca="false">IF(AND(L$4&gt;=$E15,L$4&lt;=$F15),1,"")</f>
        <v/>
      </c>
      <c r="M15" s="24" t="str">
        <f aca="false">IF(AND(M$4&gt;=$E15,M$4&lt;=$F15),1,"")</f>
        <v/>
      </c>
      <c r="N15" s="24" t="str">
        <f aca="false">IF(AND(N$4&gt;=$E15,N$4&lt;=$F15),1,"")</f>
        <v/>
      </c>
      <c r="O15" s="24" t="str">
        <f aca="false">IF(AND(O$4&gt;=$E15,O$4&lt;=$F15),1,"")</f>
        <v/>
      </c>
      <c r="P15" s="24" t="n">
        <f aca="false">IF(AND(P$4&gt;=$E15,P$4&lt;=$F15),1,"")</f>
        <v>1</v>
      </c>
      <c r="Q15" s="24" t="n">
        <f aca="false">IF(AND(Q$4&gt;=$E15,Q$4&lt;=$F15),1,"")</f>
        <v>1</v>
      </c>
      <c r="R15" s="24" t="str">
        <f aca="false">IF(AND(R$4&gt;=$E15,R$4&lt;=$F15),1,"")</f>
        <v/>
      </c>
      <c r="S15" s="24" t="str">
        <f aca="false">IF(AND(S$4&gt;=$E15,S$4&lt;=$F15),1,"")</f>
        <v/>
      </c>
      <c r="T15" s="24" t="str">
        <f aca="false">IF(AND(T$4&gt;=$E15,T$4&lt;=$F15),1,"")</f>
        <v/>
      </c>
      <c r="U15" s="24" t="str">
        <f aca="false">IF(AND(U$4&gt;=$E15,U$4&lt;=$F15),1,"")</f>
        <v/>
      </c>
    </row>
    <row r="16" customFormat="false" ht="15" hidden="false" customHeight="true" outlineLevel="0" collapsed="false">
      <c r="A16" s="21" t="s">
        <v>73</v>
      </c>
      <c r="B16" s="25" t="s">
        <v>15</v>
      </c>
      <c r="C16" s="7" t="s">
        <v>74</v>
      </c>
      <c r="D16" s="7" t="s">
        <v>75</v>
      </c>
      <c r="E16" s="23" t="n">
        <v>9</v>
      </c>
      <c r="F16" s="23" t="n">
        <v>9</v>
      </c>
      <c r="G16" s="21" t="n">
        <f aca="false">F16-E16+1</f>
        <v>1</v>
      </c>
      <c r="H16" s="23" t="s">
        <v>45</v>
      </c>
      <c r="I16" s="7" t="s">
        <v>76</v>
      </c>
      <c r="J16" s="24" t="str">
        <f aca="false">IF(AND(J$4&gt;=$E16,J$4&lt;=$F16),1,"")</f>
        <v/>
      </c>
      <c r="K16" s="24" t="str">
        <f aca="false">IF(AND(K$4&gt;=$E16,K$4&lt;=$F16),1,"")</f>
        <v/>
      </c>
      <c r="L16" s="24" t="str">
        <f aca="false">IF(AND(L$4&gt;=$E16,L$4&lt;=$F16),1,"")</f>
        <v/>
      </c>
      <c r="M16" s="24" t="str">
        <f aca="false">IF(AND(M$4&gt;=$E16,M$4&lt;=$F16),1,"")</f>
        <v/>
      </c>
      <c r="N16" s="24" t="str">
        <f aca="false">IF(AND(N$4&gt;=$E16,N$4&lt;=$F16),1,"")</f>
        <v/>
      </c>
      <c r="O16" s="24" t="str">
        <f aca="false">IF(AND(O$4&gt;=$E16,O$4&lt;=$F16),1,"")</f>
        <v/>
      </c>
      <c r="P16" s="24" t="str">
        <f aca="false">IF(AND(P$4&gt;=$E16,P$4&lt;=$F16),1,"")</f>
        <v/>
      </c>
      <c r="Q16" s="24" t="str">
        <f aca="false">IF(AND(Q$4&gt;=$E16,Q$4&lt;=$F16),1,"")</f>
        <v/>
      </c>
      <c r="R16" s="24" t="n">
        <f aca="false">IF(AND(R$4&gt;=$E16,R$4&lt;=$F16),1,"")</f>
        <v>1</v>
      </c>
      <c r="S16" s="24" t="str">
        <f aca="false">IF(AND(S$4&gt;=$E16,S$4&lt;=$F16),1,"")</f>
        <v/>
      </c>
      <c r="T16" s="24" t="str">
        <f aca="false">IF(AND(T$4&gt;=$E16,T$4&lt;=$F16),1,"")</f>
        <v/>
      </c>
      <c r="U16" s="24" t="str">
        <f aca="false">IF(AND(U$4&gt;=$E16,U$4&lt;=$F16),1,"")</f>
        <v/>
      </c>
    </row>
    <row r="17" customFormat="false" ht="23.25" hidden="false" customHeight="true" outlineLevel="0" collapsed="false">
      <c r="A17" s="21" t="s">
        <v>77</v>
      </c>
      <c r="B17" s="25" t="s">
        <v>15</v>
      </c>
      <c r="C17" s="7" t="s">
        <v>78</v>
      </c>
      <c r="D17" s="7" t="s">
        <v>79</v>
      </c>
      <c r="E17" s="23" t="n">
        <v>10</v>
      </c>
      <c r="F17" s="23" t="n">
        <v>10</v>
      </c>
      <c r="G17" s="21" t="n">
        <f aca="false">F17-E17+1</f>
        <v>1</v>
      </c>
      <c r="H17" s="23" t="s">
        <v>45</v>
      </c>
      <c r="I17" s="7" t="s">
        <v>73</v>
      </c>
      <c r="J17" s="24" t="str">
        <f aca="false">IF(AND(J$4&gt;=$E17,J$4&lt;=$F17),1,"")</f>
        <v/>
      </c>
      <c r="K17" s="24" t="str">
        <f aca="false">IF(AND(K$4&gt;=$E17,K$4&lt;=$F17),1,"")</f>
        <v/>
      </c>
      <c r="L17" s="24" t="str">
        <f aca="false">IF(AND(L$4&gt;=$E17,L$4&lt;=$F17),1,"")</f>
        <v/>
      </c>
      <c r="M17" s="24" t="str">
        <f aca="false">IF(AND(M$4&gt;=$E17,M$4&lt;=$F17),1,"")</f>
        <v/>
      </c>
      <c r="N17" s="24" t="str">
        <f aca="false">IF(AND(N$4&gt;=$E17,N$4&lt;=$F17),1,"")</f>
        <v/>
      </c>
      <c r="O17" s="24" t="str">
        <f aca="false">IF(AND(O$4&gt;=$E17,O$4&lt;=$F17),1,"")</f>
        <v/>
      </c>
      <c r="P17" s="24" t="str">
        <f aca="false">IF(AND(P$4&gt;=$E17,P$4&lt;=$F17),1,"")</f>
        <v/>
      </c>
      <c r="Q17" s="24" t="str">
        <f aca="false">IF(AND(Q$4&gt;=$E17,Q$4&lt;=$F17),1,"")</f>
        <v/>
      </c>
      <c r="R17" s="24" t="str">
        <f aca="false">IF(AND(R$4&gt;=$E17,R$4&lt;=$F17),1,"")</f>
        <v/>
      </c>
      <c r="S17" s="24" t="n">
        <f aca="false">IF(AND(S$4&gt;=$E17,S$4&lt;=$F17),1,"")</f>
        <v>1</v>
      </c>
      <c r="T17" s="24" t="str">
        <f aca="false">IF(AND(T$4&gt;=$E17,T$4&lt;=$F17),1,"")</f>
        <v/>
      </c>
      <c r="U17" s="24" t="str">
        <f aca="false">IF(AND(U$4&gt;=$E17,U$4&lt;=$F17),1,"")</f>
        <v/>
      </c>
    </row>
    <row r="18" customFormat="false" ht="15" hidden="false" customHeight="true" outlineLevel="0" collapsed="false">
      <c r="A18" s="21" t="s">
        <v>80</v>
      </c>
      <c r="B18" s="25" t="s">
        <v>15</v>
      </c>
      <c r="C18" s="7" t="s">
        <v>66</v>
      </c>
      <c r="D18" s="7" t="s">
        <v>81</v>
      </c>
      <c r="E18" s="23" t="n">
        <v>11</v>
      </c>
      <c r="F18" s="23" t="n">
        <v>11</v>
      </c>
      <c r="G18" s="21" t="n">
        <f aca="false">F18-E18+1</f>
        <v>1</v>
      </c>
      <c r="H18" s="23" t="s">
        <v>45</v>
      </c>
      <c r="I18" s="7" t="s">
        <v>77</v>
      </c>
      <c r="J18" s="24" t="str">
        <f aca="false">IF(AND(J$4&gt;=$E18,J$4&lt;=$F18),1,"")</f>
        <v/>
      </c>
      <c r="K18" s="24" t="str">
        <f aca="false">IF(AND(K$4&gt;=$E18,K$4&lt;=$F18),1,"")</f>
        <v/>
      </c>
      <c r="L18" s="24" t="str">
        <f aca="false">IF(AND(L$4&gt;=$E18,L$4&lt;=$F18),1,"")</f>
        <v/>
      </c>
      <c r="M18" s="24" t="str">
        <f aca="false">IF(AND(M$4&gt;=$E18,M$4&lt;=$F18),1,"")</f>
        <v/>
      </c>
      <c r="N18" s="24" t="str">
        <f aca="false">IF(AND(N$4&gt;=$E18,N$4&lt;=$F18),1,"")</f>
        <v/>
      </c>
      <c r="O18" s="24" t="str">
        <f aca="false">IF(AND(O$4&gt;=$E18,O$4&lt;=$F18),1,"")</f>
        <v/>
      </c>
      <c r="P18" s="24" t="str">
        <f aca="false">IF(AND(P$4&gt;=$E18,P$4&lt;=$F18),1,"")</f>
        <v/>
      </c>
      <c r="Q18" s="24" t="str">
        <f aca="false">IF(AND(Q$4&gt;=$E18,Q$4&lt;=$F18),1,"")</f>
        <v/>
      </c>
      <c r="R18" s="24" t="str">
        <f aca="false">IF(AND(R$4&gt;=$E18,R$4&lt;=$F18),1,"")</f>
        <v/>
      </c>
      <c r="S18" s="24" t="str">
        <f aca="false">IF(AND(S$4&gt;=$E18,S$4&lt;=$F18),1,"")</f>
        <v/>
      </c>
      <c r="T18" s="24" t="n">
        <f aca="false">IF(AND(T$4&gt;=$E18,T$4&lt;=$F18),1,"")</f>
        <v>1</v>
      </c>
      <c r="U18" s="24" t="str">
        <f aca="false">IF(AND(U$4&gt;=$E18,U$4&lt;=$F18),1,"")</f>
        <v/>
      </c>
    </row>
    <row r="19" customFormat="false" ht="15" hidden="false" customHeight="true" outlineLevel="0" collapsed="false">
      <c r="A19" s="21" t="s">
        <v>82</v>
      </c>
      <c r="B19" s="25" t="s">
        <v>15</v>
      </c>
      <c r="C19" s="7" t="s">
        <v>83</v>
      </c>
      <c r="D19" s="7" t="s">
        <v>84</v>
      </c>
      <c r="E19" s="23" t="n">
        <v>12</v>
      </c>
      <c r="F19" s="23" t="n">
        <v>12</v>
      </c>
      <c r="G19" s="21" t="n">
        <f aca="false">F19-E19+1</f>
        <v>1</v>
      </c>
      <c r="H19" s="23" t="s">
        <v>45</v>
      </c>
      <c r="I19" s="7" t="s">
        <v>80</v>
      </c>
      <c r="J19" s="24" t="str">
        <f aca="false">IF(AND(J$4&gt;=$E19,J$4&lt;=$F19),1,"")</f>
        <v/>
      </c>
      <c r="K19" s="24" t="str">
        <f aca="false">IF(AND(K$4&gt;=$E19,K$4&lt;=$F19),1,"")</f>
        <v/>
      </c>
      <c r="L19" s="24" t="str">
        <f aca="false">IF(AND(L$4&gt;=$E19,L$4&lt;=$F19),1,"")</f>
        <v/>
      </c>
      <c r="M19" s="24" t="str">
        <f aca="false">IF(AND(M$4&gt;=$E19,M$4&lt;=$F19),1,"")</f>
        <v/>
      </c>
      <c r="N19" s="24" t="str">
        <f aca="false">IF(AND(N$4&gt;=$E19,N$4&lt;=$F19),1,"")</f>
        <v/>
      </c>
      <c r="O19" s="24" t="str">
        <f aca="false">IF(AND(O$4&gt;=$E19,O$4&lt;=$F19),1,"")</f>
        <v/>
      </c>
      <c r="P19" s="24" t="str">
        <f aca="false">IF(AND(P$4&gt;=$E19,P$4&lt;=$F19),1,"")</f>
        <v/>
      </c>
      <c r="Q19" s="24" t="str">
        <f aca="false">IF(AND(Q$4&gt;=$E19,Q$4&lt;=$F19),1,"")</f>
        <v/>
      </c>
      <c r="R19" s="24" t="str">
        <f aca="false">IF(AND(R$4&gt;=$E19,R$4&lt;=$F19),1,"")</f>
        <v/>
      </c>
      <c r="S19" s="24" t="str">
        <f aca="false">IF(AND(S$4&gt;=$E19,S$4&lt;=$F19),1,"")</f>
        <v/>
      </c>
      <c r="T19" s="24" t="str">
        <f aca="false">IF(AND(T$4&gt;=$E19,T$4&lt;=$F19),1,"")</f>
        <v/>
      </c>
      <c r="U19" s="24" t="n">
        <f aca="false">IF(AND(U$4&gt;=$E19,U$4&lt;=$F19),1,"")</f>
        <v>1</v>
      </c>
    </row>
    <row r="20" customFormat="false" ht="15" hidden="false" customHeight="true" outlineLevel="0" collapsed="false">
      <c r="A20" s="21" t="s">
        <v>85</v>
      </c>
      <c r="B20" s="26" t="s">
        <v>18</v>
      </c>
      <c r="C20" s="7" t="s">
        <v>86</v>
      </c>
      <c r="D20" s="7" t="s">
        <v>87</v>
      </c>
      <c r="E20" s="23" t="n">
        <v>1</v>
      </c>
      <c r="F20" s="23" t="n">
        <v>1</v>
      </c>
      <c r="G20" s="21" t="n">
        <f aca="false">F20-E20+1</f>
        <v>1</v>
      </c>
      <c r="H20" s="23" t="s">
        <v>45</v>
      </c>
      <c r="I20" s="7" t="s">
        <v>42</v>
      </c>
      <c r="J20" s="24" t="n">
        <f aca="false">IF(AND(J$4&gt;=$E20,J$4&lt;=$F20),1,"")</f>
        <v>1</v>
      </c>
      <c r="K20" s="24" t="str">
        <f aca="false">IF(AND(K$4&gt;=$E20,K$4&lt;=$F20),1,"")</f>
        <v/>
      </c>
      <c r="L20" s="24" t="str">
        <f aca="false">IF(AND(L$4&gt;=$E20,L$4&lt;=$F20),1,"")</f>
        <v/>
      </c>
      <c r="M20" s="24" t="str">
        <f aca="false">IF(AND(M$4&gt;=$E20,M$4&lt;=$F20),1,"")</f>
        <v/>
      </c>
      <c r="N20" s="24" t="str">
        <f aca="false">IF(AND(N$4&gt;=$E20,N$4&lt;=$F20),1,"")</f>
        <v/>
      </c>
      <c r="O20" s="24" t="str">
        <f aca="false">IF(AND(O$4&gt;=$E20,O$4&lt;=$F20),1,"")</f>
        <v/>
      </c>
      <c r="P20" s="24" t="str">
        <f aca="false">IF(AND(P$4&gt;=$E20,P$4&lt;=$F20),1,"")</f>
        <v/>
      </c>
      <c r="Q20" s="24" t="str">
        <f aca="false">IF(AND(Q$4&gt;=$E20,Q$4&lt;=$F20),1,"")</f>
        <v/>
      </c>
      <c r="R20" s="24" t="str">
        <f aca="false">IF(AND(R$4&gt;=$E20,R$4&lt;=$F20),1,"")</f>
        <v/>
      </c>
      <c r="S20" s="24" t="str">
        <f aca="false">IF(AND(S$4&gt;=$E20,S$4&lt;=$F20),1,"")</f>
        <v/>
      </c>
      <c r="T20" s="24" t="str">
        <f aca="false">IF(AND(T$4&gt;=$E20,T$4&lt;=$F20),1,"")</f>
        <v/>
      </c>
      <c r="U20" s="24" t="str">
        <f aca="false">IF(AND(U$4&gt;=$E20,U$4&lt;=$F20),1,"")</f>
        <v/>
      </c>
    </row>
    <row r="21" customFormat="false" ht="15" hidden="false" customHeight="true" outlineLevel="0" collapsed="false">
      <c r="A21" s="21" t="s">
        <v>88</v>
      </c>
      <c r="B21" s="26" t="s">
        <v>18</v>
      </c>
      <c r="C21" s="7" t="s">
        <v>89</v>
      </c>
      <c r="D21" s="7" t="s">
        <v>90</v>
      </c>
      <c r="E21" s="23" t="n">
        <v>2</v>
      </c>
      <c r="F21" s="23" t="n">
        <v>3</v>
      </c>
      <c r="G21" s="21" t="n">
        <f aca="false">F21-E21+1</f>
        <v>2</v>
      </c>
      <c r="H21" s="23" t="s">
        <v>45</v>
      </c>
      <c r="I21" s="7" t="s">
        <v>85</v>
      </c>
      <c r="J21" s="24" t="str">
        <f aca="false">IF(AND(J$4&gt;=$E21,J$4&lt;=$F21),1,"")</f>
        <v/>
      </c>
      <c r="K21" s="24" t="n">
        <f aca="false">IF(AND(K$4&gt;=$E21,K$4&lt;=$F21),1,"")</f>
        <v>1</v>
      </c>
      <c r="L21" s="24" t="n">
        <f aca="false">IF(AND(L$4&gt;=$E21,L$4&lt;=$F21),1,"")</f>
        <v>1</v>
      </c>
      <c r="M21" s="24" t="str">
        <f aca="false">IF(AND(M$4&gt;=$E21,M$4&lt;=$F21),1,"")</f>
        <v/>
      </c>
      <c r="N21" s="24" t="str">
        <f aca="false">IF(AND(N$4&gt;=$E21,N$4&lt;=$F21),1,"")</f>
        <v/>
      </c>
      <c r="O21" s="24" t="str">
        <f aca="false">IF(AND(O$4&gt;=$E21,O$4&lt;=$F21),1,"")</f>
        <v/>
      </c>
      <c r="P21" s="24" t="str">
        <f aca="false">IF(AND(P$4&gt;=$E21,P$4&lt;=$F21),1,"")</f>
        <v/>
      </c>
      <c r="Q21" s="24" t="str">
        <f aca="false">IF(AND(Q$4&gt;=$E21,Q$4&lt;=$F21),1,"")</f>
        <v/>
      </c>
      <c r="R21" s="24" t="str">
        <f aca="false">IF(AND(R$4&gt;=$E21,R$4&lt;=$F21),1,"")</f>
        <v/>
      </c>
      <c r="S21" s="24" t="str">
        <f aca="false">IF(AND(S$4&gt;=$E21,S$4&lt;=$F21),1,"")</f>
        <v/>
      </c>
      <c r="T21" s="24" t="str">
        <f aca="false">IF(AND(T$4&gt;=$E21,T$4&lt;=$F21),1,"")</f>
        <v/>
      </c>
      <c r="U21" s="24" t="str">
        <f aca="false">IF(AND(U$4&gt;=$E21,U$4&lt;=$F21),1,"")</f>
        <v/>
      </c>
    </row>
    <row r="22" customFormat="false" ht="15" hidden="false" customHeight="true" outlineLevel="0" collapsed="false">
      <c r="A22" s="21" t="s">
        <v>91</v>
      </c>
      <c r="B22" s="26" t="s">
        <v>18</v>
      </c>
      <c r="C22" s="7" t="s">
        <v>86</v>
      </c>
      <c r="D22" s="7" t="s">
        <v>92</v>
      </c>
      <c r="E22" s="23" t="n">
        <v>3</v>
      </c>
      <c r="F22" s="23" t="n">
        <v>4</v>
      </c>
      <c r="G22" s="21" t="n">
        <f aca="false">F22-E22+1</f>
        <v>2</v>
      </c>
      <c r="H22" s="23" t="s">
        <v>45</v>
      </c>
      <c r="I22" s="7" t="s">
        <v>85</v>
      </c>
      <c r="J22" s="24" t="str">
        <f aca="false">IF(AND(J$4&gt;=$E22,J$4&lt;=$F22),1,"")</f>
        <v/>
      </c>
      <c r="K22" s="24" t="str">
        <f aca="false">IF(AND(K$4&gt;=$E22,K$4&lt;=$F22),1,"")</f>
        <v/>
      </c>
      <c r="L22" s="24" t="n">
        <f aca="false">IF(AND(L$4&gt;=$E22,L$4&lt;=$F22),1,"")</f>
        <v>1</v>
      </c>
      <c r="M22" s="24" t="n">
        <f aca="false">IF(AND(M$4&gt;=$E22,M$4&lt;=$F22),1,"")</f>
        <v>1</v>
      </c>
      <c r="N22" s="24" t="str">
        <f aca="false">IF(AND(N$4&gt;=$E22,N$4&lt;=$F22),1,"")</f>
        <v/>
      </c>
      <c r="O22" s="24" t="str">
        <f aca="false">IF(AND(O$4&gt;=$E22,O$4&lt;=$F22),1,"")</f>
        <v/>
      </c>
      <c r="P22" s="24" t="str">
        <f aca="false">IF(AND(P$4&gt;=$E22,P$4&lt;=$F22),1,"")</f>
        <v/>
      </c>
      <c r="Q22" s="24" t="str">
        <f aca="false">IF(AND(Q$4&gt;=$E22,Q$4&lt;=$F22),1,"")</f>
        <v/>
      </c>
      <c r="R22" s="24" t="str">
        <f aca="false">IF(AND(R$4&gt;=$E22,R$4&lt;=$F22),1,"")</f>
        <v/>
      </c>
      <c r="S22" s="24" t="str">
        <f aca="false">IF(AND(S$4&gt;=$E22,S$4&lt;=$F22),1,"")</f>
        <v/>
      </c>
      <c r="T22" s="24" t="str">
        <f aca="false">IF(AND(T$4&gt;=$E22,T$4&lt;=$F22),1,"")</f>
        <v/>
      </c>
      <c r="U22" s="24" t="str">
        <f aca="false">IF(AND(U$4&gt;=$E22,U$4&lt;=$F22),1,"")</f>
        <v/>
      </c>
    </row>
    <row r="23" customFormat="false" ht="15" hidden="false" customHeight="true" outlineLevel="0" collapsed="false">
      <c r="A23" s="21" t="s">
        <v>93</v>
      </c>
      <c r="B23" s="26" t="s">
        <v>18</v>
      </c>
      <c r="C23" s="7" t="s">
        <v>94</v>
      </c>
      <c r="D23" s="7" t="s">
        <v>95</v>
      </c>
      <c r="E23" s="23" t="n">
        <v>4</v>
      </c>
      <c r="F23" s="23" t="n">
        <v>5</v>
      </c>
      <c r="G23" s="21" t="n">
        <f aca="false">F23-E23+1</f>
        <v>2</v>
      </c>
      <c r="H23" s="23" t="s">
        <v>45</v>
      </c>
      <c r="I23" s="7" t="s">
        <v>88</v>
      </c>
      <c r="J23" s="24" t="str">
        <f aca="false">IF(AND(J$4&gt;=$E23,J$4&lt;=$F23),1,"")</f>
        <v/>
      </c>
      <c r="K23" s="24" t="str">
        <f aca="false">IF(AND(K$4&gt;=$E23,K$4&lt;=$F23),1,"")</f>
        <v/>
      </c>
      <c r="L23" s="24" t="str">
        <f aca="false">IF(AND(L$4&gt;=$E23,L$4&lt;=$F23),1,"")</f>
        <v/>
      </c>
      <c r="M23" s="24" t="n">
        <f aca="false">IF(AND(M$4&gt;=$E23,M$4&lt;=$F23),1,"")</f>
        <v>1</v>
      </c>
      <c r="N23" s="24" t="n">
        <f aca="false">IF(AND(N$4&gt;=$E23,N$4&lt;=$F23),1,"")</f>
        <v>1</v>
      </c>
      <c r="O23" s="24" t="str">
        <f aca="false">IF(AND(O$4&gt;=$E23,O$4&lt;=$F23),1,"")</f>
        <v/>
      </c>
      <c r="P23" s="24" t="str">
        <f aca="false">IF(AND(P$4&gt;=$E23,P$4&lt;=$F23),1,"")</f>
        <v/>
      </c>
      <c r="Q23" s="24" t="str">
        <f aca="false">IF(AND(Q$4&gt;=$E23,Q$4&lt;=$F23),1,"")</f>
        <v/>
      </c>
      <c r="R23" s="24" t="str">
        <f aca="false">IF(AND(R$4&gt;=$E23,R$4&lt;=$F23),1,"")</f>
        <v/>
      </c>
      <c r="S23" s="24" t="str">
        <f aca="false">IF(AND(S$4&gt;=$E23,S$4&lt;=$F23),1,"")</f>
        <v/>
      </c>
      <c r="T23" s="24" t="str">
        <f aca="false">IF(AND(T$4&gt;=$E23,T$4&lt;=$F23),1,"")</f>
        <v/>
      </c>
      <c r="U23" s="24" t="str">
        <f aca="false">IF(AND(U$4&gt;=$E23,U$4&lt;=$F23),1,"")</f>
        <v/>
      </c>
    </row>
    <row r="24" customFormat="false" ht="15" hidden="false" customHeight="true" outlineLevel="0" collapsed="false">
      <c r="A24" s="21" t="s">
        <v>96</v>
      </c>
      <c r="B24" s="26" t="s">
        <v>18</v>
      </c>
      <c r="C24" s="7" t="s">
        <v>94</v>
      </c>
      <c r="D24" s="7" t="s">
        <v>97</v>
      </c>
      <c r="E24" s="23" t="n">
        <v>4</v>
      </c>
      <c r="F24" s="23" t="n">
        <v>5</v>
      </c>
      <c r="G24" s="21" t="n">
        <f aca="false">F24-E24+1</f>
        <v>2</v>
      </c>
      <c r="H24" s="23" t="s">
        <v>45</v>
      </c>
      <c r="I24" s="7" t="s">
        <v>88</v>
      </c>
      <c r="J24" s="24" t="str">
        <f aca="false">IF(AND(J$4&gt;=$E24,J$4&lt;=$F24),1,"")</f>
        <v/>
      </c>
      <c r="K24" s="24" t="str">
        <f aca="false">IF(AND(K$4&gt;=$E24,K$4&lt;=$F24),1,"")</f>
        <v/>
      </c>
      <c r="L24" s="24" t="str">
        <f aca="false">IF(AND(L$4&gt;=$E24,L$4&lt;=$F24),1,"")</f>
        <v/>
      </c>
      <c r="M24" s="24" t="n">
        <f aca="false">IF(AND(M$4&gt;=$E24,M$4&lt;=$F24),1,"")</f>
        <v>1</v>
      </c>
      <c r="N24" s="24" t="n">
        <f aca="false">IF(AND(N$4&gt;=$E24,N$4&lt;=$F24),1,"")</f>
        <v>1</v>
      </c>
      <c r="O24" s="24" t="str">
        <f aca="false">IF(AND(O$4&gt;=$E24,O$4&lt;=$F24),1,"")</f>
        <v/>
      </c>
      <c r="P24" s="24" t="str">
        <f aca="false">IF(AND(P$4&gt;=$E24,P$4&lt;=$F24),1,"")</f>
        <v/>
      </c>
      <c r="Q24" s="24" t="str">
        <f aca="false">IF(AND(Q$4&gt;=$E24,Q$4&lt;=$F24),1,"")</f>
        <v/>
      </c>
      <c r="R24" s="24" t="str">
        <f aca="false">IF(AND(R$4&gt;=$E24,R$4&lt;=$F24),1,"")</f>
        <v/>
      </c>
      <c r="S24" s="24" t="str">
        <f aca="false">IF(AND(S$4&gt;=$E24,S$4&lt;=$F24),1,"")</f>
        <v/>
      </c>
      <c r="T24" s="24" t="str">
        <f aca="false">IF(AND(T$4&gt;=$E24,T$4&lt;=$F24),1,"")</f>
        <v/>
      </c>
      <c r="U24" s="24" t="str">
        <f aca="false">IF(AND(U$4&gt;=$E24,U$4&lt;=$F24),1,"")</f>
        <v/>
      </c>
    </row>
    <row r="25" customFormat="false" ht="23.25" hidden="false" customHeight="true" outlineLevel="0" collapsed="false">
      <c r="A25" s="21" t="s">
        <v>98</v>
      </c>
      <c r="B25" s="26" t="s">
        <v>18</v>
      </c>
      <c r="C25" s="7" t="s">
        <v>94</v>
      </c>
      <c r="D25" s="7" t="s">
        <v>99</v>
      </c>
      <c r="E25" s="23" t="n">
        <v>5</v>
      </c>
      <c r="F25" s="23" t="n">
        <v>6</v>
      </c>
      <c r="G25" s="21" t="n">
        <f aca="false">F25-E25+1</f>
        <v>2</v>
      </c>
      <c r="H25" s="23" t="s">
        <v>45</v>
      </c>
      <c r="I25" s="7" t="s">
        <v>100</v>
      </c>
      <c r="J25" s="24" t="str">
        <f aca="false">IF(AND(J$4&gt;=$E25,J$4&lt;=$F25),1,"")</f>
        <v/>
      </c>
      <c r="K25" s="24" t="str">
        <f aca="false">IF(AND(K$4&gt;=$E25,K$4&lt;=$F25),1,"")</f>
        <v/>
      </c>
      <c r="L25" s="24" t="str">
        <f aca="false">IF(AND(L$4&gt;=$E25,L$4&lt;=$F25),1,"")</f>
        <v/>
      </c>
      <c r="M25" s="24" t="str">
        <f aca="false">IF(AND(M$4&gt;=$E25,M$4&lt;=$F25),1,"")</f>
        <v/>
      </c>
      <c r="N25" s="24" t="n">
        <f aca="false">IF(AND(N$4&gt;=$E25,N$4&lt;=$F25),1,"")</f>
        <v>1</v>
      </c>
      <c r="O25" s="24" t="n">
        <f aca="false">IF(AND(O$4&gt;=$E25,O$4&lt;=$F25),1,"")</f>
        <v>1</v>
      </c>
      <c r="P25" s="24" t="str">
        <f aca="false">IF(AND(P$4&gt;=$E25,P$4&lt;=$F25),1,"")</f>
        <v/>
      </c>
      <c r="Q25" s="24" t="str">
        <f aca="false">IF(AND(Q$4&gt;=$E25,Q$4&lt;=$F25),1,"")</f>
        <v/>
      </c>
      <c r="R25" s="24" t="str">
        <f aca="false">IF(AND(R$4&gt;=$E25,R$4&lt;=$F25),1,"")</f>
        <v/>
      </c>
      <c r="S25" s="24" t="str">
        <f aca="false">IF(AND(S$4&gt;=$E25,S$4&lt;=$F25),1,"")</f>
        <v/>
      </c>
      <c r="T25" s="24" t="str">
        <f aca="false">IF(AND(T$4&gt;=$E25,T$4&lt;=$F25),1,"")</f>
        <v/>
      </c>
      <c r="U25" s="24" t="str">
        <f aca="false">IF(AND(U$4&gt;=$E25,U$4&lt;=$F25),1,"")</f>
        <v/>
      </c>
    </row>
    <row r="26" customFormat="false" ht="15" hidden="false" customHeight="true" outlineLevel="0" collapsed="false">
      <c r="A26" s="21" t="s">
        <v>101</v>
      </c>
      <c r="B26" s="26" t="s">
        <v>18</v>
      </c>
      <c r="C26" s="7" t="s">
        <v>58</v>
      </c>
      <c r="D26" s="7" t="s">
        <v>102</v>
      </c>
      <c r="E26" s="23" t="n">
        <v>5</v>
      </c>
      <c r="F26" s="23" t="n">
        <v>8</v>
      </c>
      <c r="G26" s="21" t="n">
        <f aca="false">F26-E26+1</f>
        <v>4</v>
      </c>
      <c r="H26" s="23" t="s">
        <v>45</v>
      </c>
      <c r="I26" s="7" t="s">
        <v>93</v>
      </c>
      <c r="J26" s="24" t="str">
        <f aca="false">IF(AND(J$4&gt;=$E26,J$4&lt;=$F26),1,"")</f>
        <v/>
      </c>
      <c r="K26" s="24" t="str">
        <f aca="false">IF(AND(K$4&gt;=$E26,K$4&lt;=$F26),1,"")</f>
        <v/>
      </c>
      <c r="L26" s="24" t="str">
        <f aca="false">IF(AND(L$4&gt;=$E26,L$4&lt;=$F26),1,"")</f>
        <v/>
      </c>
      <c r="M26" s="24" t="str">
        <f aca="false">IF(AND(M$4&gt;=$E26,M$4&lt;=$F26),1,"")</f>
        <v/>
      </c>
      <c r="N26" s="24" t="n">
        <f aca="false">IF(AND(N$4&gt;=$E26,N$4&lt;=$F26),1,"")</f>
        <v>1</v>
      </c>
      <c r="O26" s="24" t="n">
        <f aca="false">IF(AND(O$4&gt;=$E26,O$4&lt;=$F26),1,"")</f>
        <v>1</v>
      </c>
      <c r="P26" s="24" t="n">
        <f aca="false">IF(AND(P$4&gt;=$E26,P$4&lt;=$F26),1,"")</f>
        <v>1</v>
      </c>
      <c r="Q26" s="24" t="n">
        <f aca="false">IF(AND(Q$4&gt;=$E26,Q$4&lt;=$F26),1,"")</f>
        <v>1</v>
      </c>
      <c r="R26" s="24" t="str">
        <f aca="false">IF(AND(R$4&gt;=$E26,R$4&lt;=$F26),1,"")</f>
        <v/>
      </c>
      <c r="S26" s="24" t="str">
        <f aca="false">IF(AND(S$4&gt;=$E26,S$4&lt;=$F26),1,"")</f>
        <v/>
      </c>
      <c r="T26" s="24" t="str">
        <f aca="false">IF(AND(T$4&gt;=$E26,T$4&lt;=$F26),1,"")</f>
        <v/>
      </c>
      <c r="U26" s="24" t="str">
        <f aca="false">IF(AND(U$4&gt;=$E26,U$4&lt;=$F26),1,"")</f>
        <v/>
      </c>
    </row>
    <row r="27" customFormat="false" ht="15" hidden="false" customHeight="true" outlineLevel="0" collapsed="false">
      <c r="A27" s="21" t="s">
        <v>103</v>
      </c>
      <c r="B27" s="26" t="s">
        <v>18</v>
      </c>
      <c r="C27" s="7" t="s">
        <v>89</v>
      </c>
      <c r="D27" s="7" t="s">
        <v>104</v>
      </c>
      <c r="E27" s="23" t="n">
        <v>7</v>
      </c>
      <c r="F27" s="23" t="n">
        <v>8</v>
      </c>
      <c r="G27" s="21" t="n">
        <f aca="false">F27-E27+1</f>
        <v>2</v>
      </c>
      <c r="H27" s="23" t="s">
        <v>45</v>
      </c>
      <c r="I27" s="7" t="s">
        <v>105</v>
      </c>
      <c r="J27" s="24" t="str">
        <f aca="false">IF(AND(J$4&gt;=$E27,J$4&lt;=$F27),1,"")</f>
        <v/>
      </c>
      <c r="K27" s="24" t="str">
        <f aca="false">IF(AND(K$4&gt;=$E27,K$4&lt;=$F27),1,"")</f>
        <v/>
      </c>
      <c r="L27" s="24" t="str">
        <f aca="false">IF(AND(L$4&gt;=$E27,L$4&lt;=$F27),1,"")</f>
        <v/>
      </c>
      <c r="M27" s="24" t="str">
        <f aca="false">IF(AND(M$4&gt;=$E27,M$4&lt;=$F27),1,"")</f>
        <v/>
      </c>
      <c r="N27" s="24" t="str">
        <f aca="false">IF(AND(N$4&gt;=$E27,N$4&lt;=$F27),1,"")</f>
        <v/>
      </c>
      <c r="O27" s="24" t="str">
        <f aca="false">IF(AND(O$4&gt;=$E27,O$4&lt;=$F27),1,"")</f>
        <v/>
      </c>
      <c r="P27" s="24" t="n">
        <f aca="false">IF(AND(P$4&gt;=$E27,P$4&lt;=$F27),1,"")</f>
        <v>1</v>
      </c>
      <c r="Q27" s="24" t="n">
        <f aca="false">IF(AND(Q$4&gt;=$E27,Q$4&lt;=$F27),1,"")</f>
        <v>1</v>
      </c>
      <c r="R27" s="24" t="str">
        <f aca="false">IF(AND(R$4&gt;=$E27,R$4&lt;=$F27),1,"")</f>
        <v/>
      </c>
      <c r="S27" s="24" t="str">
        <f aca="false">IF(AND(S$4&gt;=$E27,S$4&lt;=$F27),1,"")</f>
        <v/>
      </c>
      <c r="T27" s="24" t="str">
        <f aca="false">IF(AND(T$4&gt;=$E27,T$4&lt;=$F27),1,"")</f>
        <v/>
      </c>
      <c r="U27" s="24" t="str">
        <f aca="false">IF(AND(U$4&gt;=$E27,U$4&lt;=$F27),1,"")</f>
        <v/>
      </c>
    </row>
    <row r="28" customFormat="false" ht="15" hidden="false" customHeight="true" outlineLevel="0" collapsed="false">
      <c r="A28" s="21" t="s">
        <v>106</v>
      </c>
      <c r="B28" s="26" t="s">
        <v>18</v>
      </c>
      <c r="C28" s="7" t="s">
        <v>94</v>
      </c>
      <c r="D28" s="7" t="s">
        <v>107</v>
      </c>
      <c r="E28" s="23" t="n">
        <v>7</v>
      </c>
      <c r="F28" s="23" t="n">
        <v>8</v>
      </c>
      <c r="G28" s="21" t="n">
        <f aca="false">F28-E28+1</f>
        <v>2</v>
      </c>
      <c r="H28" s="23" t="s">
        <v>45</v>
      </c>
      <c r="I28" s="7" t="s">
        <v>98</v>
      </c>
      <c r="J28" s="24" t="str">
        <f aca="false">IF(AND(J$4&gt;=$E28,J$4&lt;=$F28),1,"")</f>
        <v/>
      </c>
      <c r="K28" s="24" t="str">
        <f aca="false">IF(AND(K$4&gt;=$E28,K$4&lt;=$F28),1,"")</f>
        <v/>
      </c>
      <c r="L28" s="24" t="str">
        <f aca="false">IF(AND(L$4&gt;=$E28,L$4&lt;=$F28),1,"")</f>
        <v/>
      </c>
      <c r="M28" s="24" t="str">
        <f aca="false">IF(AND(M$4&gt;=$E28,M$4&lt;=$F28),1,"")</f>
        <v/>
      </c>
      <c r="N28" s="24" t="str">
        <f aca="false">IF(AND(N$4&gt;=$E28,N$4&lt;=$F28),1,"")</f>
        <v/>
      </c>
      <c r="O28" s="24" t="str">
        <f aca="false">IF(AND(O$4&gt;=$E28,O$4&lt;=$F28),1,"")</f>
        <v/>
      </c>
      <c r="P28" s="24" t="n">
        <f aca="false">IF(AND(P$4&gt;=$E28,P$4&lt;=$F28),1,"")</f>
        <v>1</v>
      </c>
      <c r="Q28" s="24" t="n">
        <f aca="false">IF(AND(Q$4&gt;=$E28,Q$4&lt;=$F28),1,"")</f>
        <v>1</v>
      </c>
      <c r="R28" s="24" t="str">
        <f aca="false">IF(AND(R$4&gt;=$E28,R$4&lt;=$F28),1,"")</f>
        <v/>
      </c>
      <c r="S28" s="24" t="str">
        <f aca="false">IF(AND(S$4&gt;=$E28,S$4&lt;=$F28),1,"")</f>
        <v/>
      </c>
      <c r="T28" s="24" t="str">
        <f aca="false">IF(AND(T$4&gt;=$E28,T$4&lt;=$F28),1,"")</f>
        <v/>
      </c>
      <c r="U28" s="24" t="str">
        <f aca="false">IF(AND(U$4&gt;=$E28,U$4&lt;=$F28),1,"")</f>
        <v/>
      </c>
    </row>
    <row r="29" customFormat="false" ht="15" hidden="false" customHeight="true" outlineLevel="0" collapsed="false">
      <c r="A29" s="21" t="s">
        <v>108</v>
      </c>
      <c r="B29" s="26" t="s">
        <v>18</v>
      </c>
      <c r="C29" s="7" t="s">
        <v>86</v>
      </c>
      <c r="D29" s="7" t="s">
        <v>109</v>
      </c>
      <c r="E29" s="23" t="n">
        <v>8</v>
      </c>
      <c r="F29" s="23" t="n">
        <v>9</v>
      </c>
      <c r="G29" s="21" t="n">
        <f aca="false">F29-E29+1</f>
        <v>2</v>
      </c>
      <c r="H29" s="23" t="s">
        <v>45</v>
      </c>
      <c r="I29" s="7" t="s">
        <v>91</v>
      </c>
      <c r="J29" s="24" t="str">
        <f aca="false">IF(AND(J$4&gt;=$E29,J$4&lt;=$F29),1,"")</f>
        <v/>
      </c>
      <c r="K29" s="24" t="str">
        <f aca="false">IF(AND(K$4&gt;=$E29,K$4&lt;=$F29),1,"")</f>
        <v/>
      </c>
      <c r="L29" s="24" t="str">
        <f aca="false">IF(AND(L$4&gt;=$E29,L$4&lt;=$F29),1,"")</f>
        <v/>
      </c>
      <c r="M29" s="24" t="str">
        <f aca="false">IF(AND(M$4&gt;=$E29,M$4&lt;=$F29),1,"")</f>
        <v/>
      </c>
      <c r="N29" s="24" t="str">
        <f aca="false">IF(AND(N$4&gt;=$E29,N$4&lt;=$F29),1,"")</f>
        <v/>
      </c>
      <c r="O29" s="24" t="str">
        <f aca="false">IF(AND(O$4&gt;=$E29,O$4&lt;=$F29),1,"")</f>
        <v/>
      </c>
      <c r="P29" s="24" t="str">
        <f aca="false">IF(AND(P$4&gt;=$E29,P$4&lt;=$F29),1,"")</f>
        <v/>
      </c>
      <c r="Q29" s="24" t="n">
        <f aca="false">IF(AND(Q$4&gt;=$E29,Q$4&lt;=$F29),1,"")</f>
        <v>1</v>
      </c>
      <c r="R29" s="24" t="n">
        <f aca="false">IF(AND(R$4&gt;=$E29,R$4&lt;=$F29),1,"")</f>
        <v>1</v>
      </c>
      <c r="S29" s="24" t="str">
        <f aca="false">IF(AND(S$4&gt;=$E29,S$4&lt;=$F29),1,"")</f>
        <v/>
      </c>
      <c r="T29" s="24" t="str">
        <f aca="false">IF(AND(T$4&gt;=$E29,T$4&lt;=$F29),1,"")</f>
        <v/>
      </c>
      <c r="U29" s="24" t="str">
        <f aca="false">IF(AND(U$4&gt;=$E29,U$4&lt;=$F29),1,"")</f>
        <v/>
      </c>
    </row>
    <row r="30" customFormat="false" ht="15" hidden="false" customHeight="true" outlineLevel="0" collapsed="false">
      <c r="A30" s="21" t="s">
        <v>110</v>
      </c>
      <c r="B30" s="26" t="s">
        <v>18</v>
      </c>
      <c r="C30" s="7" t="s">
        <v>94</v>
      </c>
      <c r="D30" s="7" t="s">
        <v>111</v>
      </c>
      <c r="E30" s="23" t="n">
        <v>9</v>
      </c>
      <c r="F30" s="23" t="n">
        <v>9</v>
      </c>
      <c r="G30" s="21" t="n">
        <f aca="false">F30-E30+1</f>
        <v>1</v>
      </c>
      <c r="H30" s="23" t="s">
        <v>45</v>
      </c>
      <c r="I30" s="7" t="s">
        <v>106</v>
      </c>
      <c r="J30" s="24" t="str">
        <f aca="false">IF(AND(J$4&gt;=$E30,J$4&lt;=$F30),1,"")</f>
        <v/>
      </c>
      <c r="K30" s="24" t="str">
        <f aca="false">IF(AND(K$4&gt;=$E30,K$4&lt;=$F30),1,"")</f>
        <v/>
      </c>
      <c r="L30" s="24" t="str">
        <f aca="false">IF(AND(L$4&gt;=$E30,L$4&lt;=$F30),1,"")</f>
        <v/>
      </c>
      <c r="M30" s="24" t="str">
        <f aca="false">IF(AND(M$4&gt;=$E30,M$4&lt;=$F30),1,"")</f>
        <v/>
      </c>
      <c r="N30" s="24" t="str">
        <f aca="false">IF(AND(N$4&gt;=$E30,N$4&lt;=$F30),1,"")</f>
        <v/>
      </c>
      <c r="O30" s="24" t="str">
        <f aca="false">IF(AND(O$4&gt;=$E30,O$4&lt;=$F30),1,"")</f>
        <v/>
      </c>
      <c r="P30" s="24" t="str">
        <f aca="false">IF(AND(P$4&gt;=$E30,P$4&lt;=$F30),1,"")</f>
        <v/>
      </c>
      <c r="Q30" s="24" t="str">
        <f aca="false">IF(AND(Q$4&gt;=$E30,Q$4&lt;=$F30),1,"")</f>
        <v/>
      </c>
      <c r="R30" s="24" t="n">
        <f aca="false">IF(AND(R$4&gt;=$E30,R$4&lt;=$F30),1,"")</f>
        <v>1</v>
      </c>
      <c r="S30" s="24" t="str">
        <f aca="false">IF(AND(S$4&gt;=$E30,S$4&lt;=$F30),1,"")</f>
        <v/>
      </c>
      <c r="T30" s="24" t="str">
        <f aca="false">IF(AND(T$4&gt;=$E30,T$4&lt;=$F30),1,"")</f>
        <v/>
      </c>
      <c r="U30" s="24" t="str">
        <f aca="false">IF(AND(U$4&gt;=$E30,U$4&lt;=$F30),1,"")</f>
        <v/>
      </c>
    </row>
    <row r="31" customFormat="false" ht="15" hidden="false" customHeight="true" outlineLevel="0" collapsed="false">
      <c r="A31" s="21" t="s">
        <v>112</v>
      </c>
      <c r="B31" s="26" t="s">
        <v>18</v>
      </c>
      <c r="C31" s="7" t="s">
        <v>58</v>
      </c>
      <c r="D31" s="7" t="s">
        <v>113</v>
      </c>
      <c r="E31" s="23" t="n">
        <v>10</v>
      </c>
      <c r="F31" s="23" t="n">
        <v>10</v>
      </c>
      <c r="G31" s="21" t="n">
        <f aca="false">F31-E31+1</f>
        <v>1</v>
      </c>
      <c r="H31" s="23" t="s">
        <v>45</v>
      </c>
      <c r="I31" s="7" t="s">
        <v>110</v>
      </c>
      <c r="J31" s="24" t="str">
        <f aca="false">IF(AND(J$4&gt;=$E31,J$4&lt;=$F31),1,"")</f>
        <v/>
      </c>
      <c r="K31" s="24" t="str">
        <f aca="false">IF(AND(K$4&gt;=$E31,K$4&lt;=$F31),1,"")</f>
        <v/>
      </c>
      <c r="L31" s="24" t="str">
        <f aca="false">IF(AND(L$4&gt;=$E31,L$4&lt;=$F31),1,"")</f>
        <v/>
      </c>
      <c r="M31" s="24" t="str">
        <f aca="false">IF(AND(M$4&gt;=$E31,M$4&lt;=$F31),1,"")</f>
        <v/>
      </c>
      <c r="N31" s="24" t="str">
        <f aca="false">IF(AND(N$4&gt;=$E31,N$4&lt;=$F31),1,"")</f>
        <v/>
      </c>
      <c r="O31" s="24" t="str">
        <f aca="false">IF(AND(O$4&gt;=$E31,O$4&lt;=$F31),1,"")</f>
        <v/>
      </c>
      <c r="P31" s="24" t="str">
        <f aca="false">IF(AND(P$4&gt;=$E31,P$4&lt;=$F31),1,"")</f>
        <v/>
      </c>
      <c r="Q31" s="24" t="str">
        <f aca="false">IF(AND(Q$4&gt;=$E31,Q$4&lt;=$F31),1,"")</f>
        <v/>
      </c>
      <c r="R31" s="24" t="str">
        <f aca="false">IF(AND(R$4&gt;=$E31,R$4&lt;=$F31),1,"")</f>
        <v/>
      </c>
      <c r="S31" s="24" t="n">
        <f aca="false">IF(AND(S$4&gt;=$E31,S$4&lt;=$F31),1,"")</f>
        <v>1</v>
      </c>
      <c r="T31" s="24" t="str">
        <f aca="false">IF(AND(T$4&gt;=$E31,T$4&lt;=$F31),1,"")</f>
        <v/>
      </c>
      <c r="U31" s="24" t="str">
        <f aca="false">IF(AND(U$4&gt;=$E31,U$4&lt;=$F31),1,"")</f>
        <v/>
      </c>
    </row>
    <row r="32" customFormat="false" ht="15" hidden="false" customHeight="true" outlineLevel="0" collapsed="false">
      <c r="A32" s="21" t="s">
        <v>114</v>
      </c>
      <c r="B32" s="26" t="s">
        <v>18</v>
      </c>
      <c r="C32" s="7" t="s">
        <v>83</v>
      </c>
      <c r="D32" s="7" t="s">
        <v>115</v>
      </c>
      <c r="E32" s="23" t="n">
        <v>12</v>
      </c>
      <c r="F32" s="23" t="n">
        <v>12</v>
      </c>
      <c r="G32" s="21" t="n">
        <f aca="false">F32-E32+1</f>
        <v>1</v>
      </c>
      <c r="H32" s="23" t="s">
        <v>45</v>
      </c>
      <c r="I32" s="7" t="s">
        <v>112</v>
      </c>
      <c r="J32" s="24" t="str">
        <f aca="false">IF(AND(J$4&gt;=$E32,J$4&lt;=$F32),1,"")</f>
        <v/>
      </c>
      <c r="K32" s="24" t="str">
        <f aca="false">IF(AND(K$4&gt;=$E32,K$4&lt;=$F32),1,"")</f>
        <v/>
      </c>
      <c r="L32" s="24" t="str">
        <f aca="false">IF(AND(L$4&gt;=$E32,L$4&lt;=$F32),1,"")</f>
        <v/>
      </c>
      <c r="M32" s="24" t="str">
        <f aca="false">IF(AND(M$4&gt;=$E32,M$4&lt;=$F32),1,"")</f>
        <v/>
      </c>
      <c r="N32" s="24" t="str">
        <f aca="false">IF(AND(N$4&gt;=$E32,N$4&lt;=$F32),1,"")</f>
        <v/>
      </c>
      <c r="O32" s="24" t="str">
        <f aca="false">IF(AND(O$4&gt;=$E32,O$4&lt;=$F32),1,"")</f>
        <v/>
      </c>
      <c r="P32" s="24" t="str">
        <f aca="false">IF(AND(P$4&gt;=$E32,P$4&lt;=$F32),1,"")</f>
        <v/>
      </c>
      <c r="Q32" s="24" t="str">
        <f aca="false">IF(AND(Q$4&gt;=$E32,Q$4&lt;=$F32),1,"")</f>
        <v/>
      </c>
      <c r="R32" s="24" t="str">
        <f aca="false">IF(AND(R$4&gt;=$E32,R$4&lt;=$F32),1,"")</f>
        <v/>
      </c>
      <c r="S32" s="24" t="str">
        <f aca="false">IF(AND(S$4&gt;=$E32,S$4&lt;=$F32),1,"")</f>
        <v/>
      </c>
      <c r="T32" s="24" t="str">
        <f aca="false">IF(AND(T$4&gt;=$E32,T$4&lt;=$F32),1,"")</f>
        <v/>
      </c>
      <c r="U32" s="24" t="n">
        <f aca="false">IF(AND(U$4&gt;=$E32,U$4&lt;=$F32),1,"")</f>
        <v>1</v>
      </c>
    </row>
    <row r="33" customFormat="false" ht="15" hidden="false" customHeight="true" outlineLevel="0" collapsed="false">
      <c r="A33" s="21" t="s">
        <v>116</v>
      </c>
      <c r="B33" s="27" t="s">
        <v>21</v>
      </c>
      <c r="C33" s="7" t="s">
        <v>117</v>
      </c>
      <c r="D33" s="7" t="s">
        <v>118</v>
      </c>
      <c r="E33" s="23" t="n">
        <v>1</v>
      </c>
      <c r="F33" s="23" t="n">
        <v>1</v>
      </c>
      <c r="G33" s="21" t="n">
        <f aca="false">F33-E33+1</f>
        <v>1</v>
      </c>
      <c r="H33" s="23" t="s">
        <v>45</v>
      </c>
      <c r="I33" s="7" t="s">
        <v>42</v>
      </c>
      <c r="J33" s="24" t="n">
        <f aca="false">IF(AND(J$4&gt;=$E33,J$4&lt;=$F33),1,"")</f>
        <v>1</v>
      </c>
      <c r="K33" s="24" t="str">
        <f aca="false">IF(AND(K$4&gt;=$E33,K$4&lt;=$F33),1,"")</f>
        <v/>
      </c>
      <c r="L33" s="24" t="str">
        <f aca="false">IF(AND(L$4&gt;=$E33,L$4&lt;=$F33),1,"")</f>
        <v/>
      </c>
      <c r="M33" s="24" t="str">
        <f aca="false">IF(AND(M$4&gt;=$E33,M$4&lt;=$F33),1,"")</f>
        <v/>
      </c>
      <c r="N33" s="24" t="str">
        <f aca="false">IF(AND(N$4&gt;=$E33,N$4&lt;=$F33),1,"")</f>
        <v/>
      </c>
      <c r="O33" s="24" t="str">
        <f aca="false">IF(AND(O$4&gt;=$E33,O$4&lt;=$F33),1,"")</f>
        <v/>
      </c>
      <c r="P33" s="24" t="str">
        <f aca="false">IF(AND(P$4&gt;=$E33,P$4&lt;=$F33),1,"")</f>
        <v/>
      </c>
      <c r="Q33" s="24" t="str">
        <f aca="false">IF(AND(Q$4&gt;=$E33,Q$4&lt;=$F33),1,"")</f>
        <v/>
      </c>
      <c r="R33" s="24" t="str">
        <f aca="false">IF(AND(R$4&gt;=$E33,R$4&lt;=$F33),1,"")</f>
        <v/>
      </c>
      <c r="S33" s="24" t="str">
        <f aca="false">IF(AND(S$4&gt;=$E33,S$4&lt;=$F33),1,"")</f>
        <v/>
      </c>
      <c r="T33" s="24" t="str">
        <f aca="false">IF(AND(T$4&gt;=$E33,T$4&lt;=$F33),1,"")</f>
        <v/>
      </c>
      <c r="U33" s="24" t="str">
        <f aca="false">IF(AND(U$4&gt;=$E33,U$4&lt;=$F33),1,"")</f>
        <v/>
      </c>
    </row>
    <row r="34" customFormat="false" ht="15" hidden="false" customHeight="true" outlineLevel="0" collapsed="false">
      <c r="A34" s="21" t="s">
        <v>119</v>
      </c>
      <c r="B34" s="27" t="s">
        <v>21</v>
      </c>
      <c r="C34" s="7" t="s">
        <v>120</v>
      </c>
      <c r="D34" s="7" t="s">
        <v>121</v>
      </c>
      <c r="E34" s="23" t="n">
        <v>2</v>
      </c>
      <c r="F34" s="23" t="n">
        <v>3</v>
      </c>
      <c r="G34" s="21" t="n">
        <f aca="false">F34-E34+1</f>
        <v>2</v>
      </c>
      <c r="H34" s="23" t="s">
        <v>45</v>
      </c>
      <c r="I34" s="7" t="s">
        <v>116</v>
      </c>
      <c r="J34" s="24" t="str">
        <f aca="false">IF(AND(J$4&gt;=$E34,J$4&lt;=$F34),1,"")</f>
        <v/>
      </c>
      <c r="K34" s="24" t="n">
        <f aca="false">IF(AND(K$4&gt;=$E34,K$4&lt;=$F34),1,"")</f>
        <v>1</v>
      </c>
      <c r="L34" s="24" t="n">
        <f aca="false">IF(AND(L$4&gt;=$E34,L$4&lt;=$F34),1,"")</f>
        <v>1</v>
      </c>
      <c r="M34" s="24" t="str">
        <f aca="false">IF(AND(M$4&gt;=$E34,M$4&lt;=$F34),1,"")</f>
        <v/>
      </c>
      <c r="N34" s="24" t="str">
        <f aca="false">IF(AND(N$4&gt;=$E34,N$4&lt;=$F34),1,"")</f>
        <v/>
      </c>
      <c r="O34" s="24" t="str">
        <f aca="false">IF(AND(O$4&gt;=$E34,O$4&lt;=$F34),1,"")</f>
        <v/>
      </c>
      <c r="P34" s="24" t="str">
        <f aca="false">IF(AND(P$4&gt;=$E34,P$4&lt;=$F34),1,"")</f>
        <v/>
      </c>
      <c r="Q34" s="24" t="str">
        <f aca="false">IF(AND(Q$4&gt;=$E34,Q$4&lt;=$F34),1,"")</f>
        <v/>
      </c>
      <c r="R34" s="24" t="str">
        <f aca="false">IF(AND(R$4&gt;=$E34,R$4&lt;=$F34),1,"")</f>
        <v/>
      </c>
      <c r="S34" s="24" t="str">
        <f aca="false">IF(AND(S$4&gt;=$E34,S$4&lt;=$F34),1,"")</f>
        <v/>
      </c>
      <c r="T34" s="24" t="str">
        <f aca="false">IF(AND(T$4&gt;=$E34,T$4&lt;=$F34),1,"")</f>
        <v/>
      </c>
      <c r="U34" s="24" t="str">
        <f aca="false">IF(AND(U$4&gt;=$E34,U$4&lt;=$F34),1,"")</f>
        <v/>
      </c>
    </row>
    <row r="35" customFormat="false" ht="15" hidden="false" customHeight="true" outlineLevel="0" collapsed="false">
      <c r="A35" s="21" t="s">
        <v>122</v>
      </c>
      <c r="B35" s="27" t="s">
        <v>21</v>
      </c>
      <c r="C35" s="7" t="s">
        <v>120</v>
      </c>
      <c r="D35" s="7" t="s">
        <v>123</v>
      </c>
      <c r="E35" s="23" t="n">
        <v>3</v>
      </c>
      <c r="F35" s="23" t="n">
        <v>4</v>
      </c>
      <c r="G35" s="21" t="n">
        <f aca="false">F35-E35+1</f>
        <v>2</v>
      </c>
      <c r="H35" s="23" t="s">
        <v>45</v>
      </c>
      <c r="I35" s="7" t="s">
        <v>119</v>
      </c>
      <c r="J35" s="24" t="str">
        <f aca="false">IF(AND(J$4&gt;=$E35,J$4&lt;=$F35),1,"")</f>
        <v/>
      </c>
      <c r="K35" s="24" t="str">
        <f aca="false">IF(AND(K$4&gt;=$E35,K$4&lt;=$F35),1,"")</f>
        <v/>
      </c>
      <c r="L35" s="24" t="n">
        <f aca="false">IF(AND(L$4&gt;=$E35,L$4&lt;=$F35),1,"")</f>
        <v>1</v>
      </c>
      <c r="M35" s="24" t="n">
        <f aca="false">IF(AND(M$4&gt;=$E35,M$4&lt;=$F35),1,"")</f>
        <v>1</v>
      </c>
      <c r="N35" s="24" t="str">
        <f aca="false">IF(AND(N$4&gt;=$E35,N$4&lt;=$F35),1,"")</f>
        <v/>
      </c>
      <c r="O35" s="24" t="str">
        <f aca="false">IF(AND(O$4&gt;=$E35,O$4&lt;=$F35),1,"")</f>
        <v/>
      </c>
      <c r="P35" s="24" t="str">
        <f aca="false">IF(AND(P$4&gt;=$E35,P$4&lt;=$F35),1,"")</f>
        <v/>
      </c>
      <c r="Q35" s="24" t="str">
        <f aca="false">IF(AND(Q$4&gt;=$E35,Q$4&lt;=$F35),1,"")</f>
        <v/>
      </c>
      <c r="R35" s="24" t="str">
        <f aca="false">IF(AND(R$4&gt;=$E35,R$4&lt;=$F35),1,"")</f>
        <v/>
      </c>
      <c r="S35" s="24" t="str">
        <f aca="false">IF(AND(S$4&gt;=$E35,S$4&lt;=$F35),1,"")</f>
        <v/>
      </c>
      <c r="T35" s="24" t="str">
        <f aca="false">IF(AND(T$4&gt;=$E35,T$4&lt;=$F35),1,"")</f>
        <v/>
      </c>
      <c r="U35" s="24" t="str">
        <f aca="false">IF(AND(U$4&gt;=$E35,U$4&lt;=$F35),1,"")</f>
        <v/>
      </c>
    </row>
    <row r="36" customFormat="false" ht="15" hidden="false" customHeight="true" outlineLevel="0" collapsed="false">
      <c r="A36" s="21" t="s">
        <v>124</v>
      </c>
      <c r="B36" s="27" t="s">
        <v>21</v>
      </c>
      <c r="C36" s="7" t="s">
        <v>117</v>
      </c>
      <c r="D36" s="7" t="s">
        <v>125</v>
      </c>
      <c r="E36" s="23" t="n">
        <v>4</v>
      </c>
      <c r="F36" s="23" t="n">
        <v>5</v>
      </c>
      <c r="G36" s="21" t="n">
        <f aca="false">F36-E36+1</f>
        <v>2</v>
      </c>
      <c r="H36" s="23" t="s">
        <v>45</v>
      </c>
      <c r="I36" s="7" t="s">
        <v>126</v>
      </c>
      <c r="J36" s="24" t="str">
        <f aca="false">IF(AND(J$4&gt;=$E36,J$4&lt;=$F36),1,"")</f>
        <v/>
      </c>
      <c r="K36" s="24" t="str">
        <f aca="false">IF(AND(K$4&gt;=$E36,K$4&lt;=$F36),1,"")</f>
        <v/>
      </c>
      <c r="L36" s="24" t="str">
        <f aca="false">IF(AND(L$4&gt;=$E36,L$4&lt;=$F36),1,"")</f>
        <v/>
      </c>
      <c r="M36" s="24" t="n">
        <f aca="false">IF(AND(M$4&gt;=$E36,M$4&lt;=$F36),1,"")</f>
        <v>1</v>
      </c>
      <c r="N36" s="24" t="n">
        <f aca="false">IF(AND(N$4&gt;=$E36,N$4&lt;=$F36),1,"")</f>
        <v>1</v>
      </c>
      <c r="O36" s="24" t="str">
        <f aca="false">IF(AND(O$4&gt;=$E36,O$4&lt;=$F36),1,"")</f>
        <v/>
      </c>
      <c r="P36" s="24" t="str">
        <f aca="false">IF(AND(P$4&gt;=$E36,P$4&lt;=$F36),1,"")</f>
        <v/>
      </c>
      <c r="Q36" s="24" t="str">
        <f aca="false">IF(AND(Q$4&gt;=$E36,Q$4&lt;=$F36),1,"")</f>
        <v/>
      </c>
      <c r="R36" s="24" t="str">
        <f aca="false">IF(AND(R$4&gt;=$E36,R$4&lt;=$F36),1,"")</f>
        <v/>
      </c>
      <c r="S36" s="24" t="str">
        <f aca="false">IF(AND(S$4&gt;=$E36,S$4&lt;=$F36),1,"")</f>
        <v/>
      </c>
      <c r="T36" s="24" t="str">
        <f aca="false">IF(AND(T$4&gt;=$E36,T$4&lt;=$F36),1,"")</f>
        <v/>
      </c>
      <c r="U36" s="24" t="str">
        <f aca="false">IF(AND(U$4&gt;=$E36,U$4&lt;=$F36),1,"")</f>
        <v/>
      </c>
    </row>
    <row r="37" customFormat="false" ht="15" hidden="false" customHeight="true" outlineLevel="0" collapsed="false">
      <c r="A37" s="21" t="s">
        <v>127</v>
      </c>
      <c r="B37" s="27" t="s">
        <v>21</v>
      </c>
      <c r="C37" s="7" t="s">
        <v>128</v>
      </c>
      <c r="D37" s="7" t="s">
        <v>129</v>
      </c>
      <c r="E37" s="23" t="n">
        <v>4</v>
      </c>
      <c r="F37" s="23" t="n">
        <v>6</v>
      </c>
      <c r="G37" s="21" t="n">
        <f aca="false">F37-E37+1</f>
        <v>3</v>
      </c>
      <c r="H37" s="23" t="s">
        <v>45</v>
      </c>
      <c r="I37" s="7" t="s">
        <v>124</v>
      </c>
      <c r="J37" s="24" t="str">
        <f aca="false">IF(AND(J$4&gt;=$E37,J$4&lt;=$F37),1,"")</f>
        <v/>
      </c>
      <c r="K37" s="24" t="str">
        <f aca="false">IF(AND(K$4&gt;=$E37,K$4&lt;=$F37),1,"")</f>
        <v/>
      </c>
      <c r="L37" s="24" t="str">
        <f aca="false">IF(AND(L$4&gt;=$E37,L$4&lt;=$F37),1,"")</f>
        <v/>
      </c>
      <c r="M37" s="24" t="n">
        <f aca="false">IF(AND(M$4&gt;=$E37,M$4&lt;=$F37),1,"")</f>
        <v>1</v>
      </c>
      <c r="N37" s="24" t="n">
        <f aca="false">IF(AND(N$4&gt;=$E37,N$4&lt;=$F37),1,"")</f>
        <v>1</v>
      </c>
      <c r="O37" s="24" t="n">
        <f aca="false">IF(AND(O$4&gt;=$E37,O$4&lt;=$F37),1,"")</f>
        <v>1</v>
      </c>
      <c r="P37" s="24" t="str">
        <f aca="false">IF(AND(P$4&gt;=$E37,P$4&lt;=$F37),1,"")</f>
        <v/>
      </c>
      <c r="Q37" s="24" t="str">
        <f aca="false">IF(AND(Q$4&gt;=$E37,Q$4&lt;=$F37),1,"")</f>
        <v/>
      </c>
      <c r="R37" s="24" t="str">
        <f aca="false">IF(AND(R$4&gt;=$E37,R$4&lt;=$F37),1,"")</f>
        <v/>
      </c>
      <c r="S37" s="24" t="str">
        <f aca="false">IF(AND(S$4&gt;=$E37,S$4&lt;=$F37),1,"")</f>
        <v/>
      </c>
      <c r="T37" s="24" t="str">
        <f aca="false">IF(AND(T$4&gt;=$E37,T$4&lt;=$F37),1,"")</f>
        <v/>
      </c>
      <c r="U37" s="24" t="str">
        <f aca="false">IF(AND(U$4&gt;=$E37,U$4&lt;=$F37),1,"")</f>
        <v/>
      </c>
    </row>
    <row r="38" customFormat="false" ht="15" hidden="false" customHeight="true" outlineLevel="0" collapsed="false">
      <c r="A38" s="21" t="s">
        <v>130</v>
      </c>
      <c r="B38" s="27" t="s">
        <v>21</v>
      </c>
      <c r="C38" s="7" t="s">
        <v>128</v>
      </c>
      <c r="D38" s="7" t="s">
        <v>131</v>
      </c>
      <c r="E38" s="23" t="n">
        <v>6</v>
      </c>
      <c r="F38" s="23" t="n">
        <v>6</v>
      </c>
      <c r="G38" s="21" t="n">
        <f aca="false">F38-E38+1</f>
        <v>1</v>
      </c>
      <c r="H38" s="23" t="s">
        <v>45</v>
      </c>
      <c r="I38" s="7" t="s">
        <v>132</v>
      </c>
      <c r="J38" s="24" t="str">
        <f aca="false">IF(AND(J$4&gt;=$E38,J$4&lt;=$F38),1,"")</f>
        <v/>
      </c>
      <c r="K38" s="24" t="str">
        <f aca="false">IF(AND(K$4&gt;=$E38,K$4&lt;=$F38),1,"")</f>
        <v/>
      </c>
      <c r="L38" s="24" t="str">
        <f aca="false">IF(AND(L$4&gt;=$E38,L$4&lt;=$F38),1,"")</f>
        <v/>
      </c>
      <c r="M38" s="24" t="str">
        <f aca="false">IF(AND(M$4&gt;=$E38,M$4&lt;=$F38),1,"")</f>
        <v/>
      </c>
      <c r="N38" s="24" t="str">
        <f aca="false">IF(AND(N$4&gt;=$E38,N$4&lt;=$F38),1,"")</f>
        <v/>
      </c>
      <c r="O38" s="24" t="n">
        <f aca="false">IF(AND(O$4&gt;=$E38,O$4&lt;=$F38),1,"")</f>
        <v>1</v>
      </c>
      <c r="P38" s="24" t="str">
        <f aca="false">IF(AND(P$4&gt;=$E38,P$4&lt;=$F38),1,"")</f>
        <v/>
      </c>
      <c r="Q38" s="24" t="str">
        <f aca="false">IF(AND(Q$4&gt;=$E38,Q$4&lt;=$F38),1,"")</f>
        <v/>
      </c>
      <c r="R38" s="24" t="str">
        <f aca="false">IF(AND(R$4&gt;=$E38,R$4&lt;=$F38),1,"")</f>
        <v/>
      </c>
      <c r="S38" s="24" t="str">
        <f aca="false">IF(AND(S$4&gt;=$E38,S$4&lt;=$F38),1,"")</f>
        <v/>
      </c>
      <c r="T38" s="24" t="str">
        <f aca="false">IF(AND(T$4&gt;=$E38,T$4&lt;=$F38),1,"")</f>
        <v/>
      </c>
      <c r="U38" s="24" t="str">
        <f aca="false">IF(AND(U$4&gt;=$E38,U$4&lt;=$F38),1,"")</f>
        <v/>
      </c>
    </row>
    <row r="39" customFormat="false" ht="15" hidden="false" customHeight="true" outlineLevel="0" collapsed="false">
      <c r="A39" s="21" t="s">
        <v>133</v>
      </c>
      <c r="B39" s="27" t="s">
        <v>21</v>
      </c>
      <c r="C39" s="7" t="s">
        <v>128</v>
      </c>
      <c r="D39" s="7" t="s">
        <v>134</v>
      </c>
      <c r="E39" s="23" t="n">
        <v>7</v>
      </c>
      <c r="F39" s="23" t="n">
        <v>8</v>
      </c>
      <c r="G39" s="21" t="n">
        <f aca="false">F39-E39+1</f>
        <v>2</v>
      </c>
      <c r="H39" s="23" t="s">
        <v>45</v>
      </c>
      <c r="I39" s="7" t="s">
        <v>130</v>
      </c>
      <c r="J39" s="24" t="str">
        <f aca="false">IF(AND(J$4&gt;=$E39,J$4&lt;=$F39),1,"")</f>
        <v/>
      </c>
      <c r="K39" s="24" t="str">
        <f aca="false">IF(AND(K$4&gt;=$E39,K$4&lt;=$F39),1,"")</f>
        <v/>
      </c>
      <c r="L39" s="24" t="str">
        <f aca="false">IF(AND(L$4&gt;=$E39,L$4&lt;=$F39),1,"")</f>
        <v/>
      </c>
      <c r="M39" s="24" t="str">
        <f aca="false">IF(AND(M$4&gt;=$E39,M$4&lt;=$F39),1,"")</f>
        <v/>
      </c>
      <c r="N39" s="24" t="str">
        <f aca="false">IF(AND(N$4&gt;=$E39,N$4&lt;=$F39),1,"")</f>
        <v/>
      </c>
      <c r="O39" s="24" t="str">
        <f aca="false">IF(AND(O$4&gt;=$E39,O$4&lt;=$F39),1,"")</f>
        <v/>
      </c>
      <c r="P39" s="24" t="n">
        <f aca="false">IF(AND(P$4&gt;=$E39,P$4&lt;=$F39),1,"")</f>
        <v>1</v>
      </c>
      <c r="Q39" s="24" t="n">
        <f aca="false">IF(AND(Q$4&gt;=$E39,Q$4&lt;=$F39),1,"")</f>
        <v>1</v>
      </c>
      <c r="R39" s="24" t="str">
        <f aca="false">IF(AND(R$4&gt;=$E39,R$4&lt;=$F39),1,"")</f>
        <v/>
      </c>
      <c r="S39" s="24" t="str">
        <f aca="false">IF(AND(S$4&gt;=$E39,S$4&lt;=$F39),1,"")</f>
        <v/>
      </c>
      <c r="T39" s="24" t="str">
        <f aca="false">IF(AND(T$4&gt;=$E39,T$4&lt;=$F39),1,"")</f>
        <v/>
      </c>
      <c r="U39" s="24" t="str">
        <f aca="false">IF(AND(U$4&gt;=$E39,U$4&lt;=$F39),1,"")</f>
        <v/>
      </c>
    </row>
    <row r="40" customFormat="false" ht="15" hidden="false" customHeight="true" outlineLevel="0" collapsed="false">
      <c r="A40" s="21" t="s">
        <v>135</v>
      </c>
      <c r="B40" s="27" t="s">
        <v>21</v>
      </c>
      <c r="C40" s="7" t="s">
        <v>120</v>
      </c>
      <c r="D40" s="7" t="s">
        <v>136</v>
      </c>
      <c r="E40" s="23" t="n">
        <v>7</v>
      </c>
      <c r="F40" s="23" t="n">
        <v>8</v>
      </c>
      <c r="G40" s="21" t="n">
        <f aca="false">F40-E40+1</f>
        <v>2</v>
      </c>
      <c r="H40" s="23" t="s">
        <v>45</v>
      </c>
      <c r="I40" s="7" t="s">
        <v>122</v>
      </c>
      <c r="J40" s="24" t="str">
        <f aca="false">IF(AND(J$4&gt;=$E40,J$4&lt;=$F40),1,"")</f>
        <v/>
      </c>
      <c r="K40" s="24" t="str">
        <f aca="false">IF(AND(K$4&gt;=$E40,K$4&lt;=$F40),1,"")</f>
        <v/>
      </c>
      <c r="L40" s="24" t="str">
        <f aca="false">IF(AND(L$4&gt;=$E40,L$4&lt;=$F40),1,"")</f>
        <v/>
      </c>
      <c r="M40" s="24" t="str">
        <f aca="false">IF(AND(M$4&gt;=$E40,M$4&lt;=$F40),1,"")</f>
        <v/>
      </c>
      <c r="N40" s="24" t="str">
        <f aca="false">IF(AND(N$4&gt;=$E40,N$4&lt;=$F40),1,"")</f>
        <v/>
      </c>
      <c r="O40" s="24" t="str">
        <f aca="false">IF(AND(O$4&gt;=$E40,O$4&lt;=$F40),1,"")</f>
        <v/>
      </c>
      <c r="P40" s="24" t="n">
        <f aca="false">IF(AND(P$4&gt;=$E40,P$4&lt;=$F40),1,"")</f>
        <v>1</v>
      </c>
      <c r="Q40" s="24" t="n">
        <f aca="false">IF(AND(Q$4&gt;=$E40,Q$4&lt;=$F40),1,"")</f>
        <v>1</v>
      </c>
      <c r="R40" s="24" t="str">
        <f aca="false">IF(AND(R$4&gt;=$E40,R$4&lt;=$F40),1,"")</f>
        <v/>
      </c>
      <c r="S40" s="24" t="str">
        <f aca="false">IF(AND(S$4&gt;=$E40,S$4&lt;=$F40),1,"")</f>
        <v/>
      </c>
      <c r="T40" s="24" t="str">
        <f aca="false">IF(AND(T$4&gt;=$E40,T$4&lt;=$F40),1,"")</f>
        <v/>
      </c>
      <c r="U40" s="24" t="str">
        <f aca="false">IF(AND(U$4&gt;=$E40,U$4&lt;=$F40),1,"")</f>
        <v/>
      </c>
    </row>
    <row r="41" customFormat="false" ht="15" hidden="false" customHeight="true" outlineLevel="0" collapsed="false">
      <c r="A41" s="21" t="s">
        <v>137</v>
      </c>
      <c r="B41" s="27" t="s">
        <v>21</v>
      </c>
      <c r="C41" s="7" t="s">
        <v>58</v>
      </c>
      <c r="D41" s="7" t="s">
        <v>138</v>
      </c>
      <c r="E41" s="23" t="n">
        <v>8</v>
      </c>
      <c r="F41" s="23" t="n">
        <v>9</v>
      </c>
      <c r="G41" s="21" t="n">
        <f aca="false">F41-E41+1</f>
        <v>2</v>
      </c>
      <c r="H41" s="23" t="s">
        <v>45</v>
      </c>
      <c r="I41" s="7" t="s">
        <v>133</v>
      </c>
      <c r="J41" s="24" t="str">
        <f aca="false">IF(AND(J$4&gt;=$E41,J$4&lt;=$F41),1,"")</f>
        <v/>
      </c>
      <c r="K41" s="24" t="str">
        <f aca="false">IF(AND(K$4&gt;=$E41,K$4&lt;=$F41),1,"")</f>
        <v/>
      </c>
      <c r="L41" s="24" t="str">
        <f aca="false">IF(AND(L$4&gt;=$E41,L$4&lt;=$F41),1,"")</f>
        <v/>
      </c>
      <c r="M41" s="24" t="str">
        <f aca="false">IF(AND(M$4&gt;=$E41,M$4&lt;=$F41),1,"")</f>
        <v/>
      </c>
      <c r="N41" s="24" t="str">
        <f aca="false">IF(AND(N$4&gt;=$E41,N$4&lt;=$F41),1,"")</f>
        <v/>
      </c>
      <c r="O41" s="24" t="str">
        <f aca="false">IF(AND(O$4&gt;=$E41,O$4&lt;=$F41),1,"")</f>
        <v/>
      </c>
      <c r="P41" s="24" t="str">
        <f aca="false">IF(AND(P$4&gt;=$E41,P$4&lt;=$F41),1,"")</f>
        <v/>
      </c>
      <c r="Q41" s="24" t="n">
        <f aca="false">IF(AND(Q$4&gt;=$E41,Q$4&lt;=$F41),1,"")</f>
        <v>1</v>
      </c>
      <c r="R41" s="24" t="n">
        <f aca="false">IF(AND(R$4&gt;=$E41,R$4&lt;=$F41),1,"")</f>
        <v>1</v>
      </c>
      <c r="S41" s="24" t="str">
        <f aca="false">IF(AND(S$4&gt;=$E41,S$4&lt;=$F41),1,"")</f>
        <v/>
      </c>
      <c r="T41" s="24" t="str">
        <f aca="false">IF(AND(T$4&gt;=$E41,T$4&lt;=$F41),1,"")</f>
        <v/>
      </c>
      <c r="U41" s="24" t="str">
        <f aca="false">IF(AND(U$4&gt;=$E41,U$4&lt;=$F41),1,"")</f>
        <v/>
      </c>
    </row>
    <row r="42" customFormat="false" ht="15" hidden="false" customHeight="true" outlineLevel="0" collapsed="false">
      <c r="A42" s="21" t="s">
        <v>139</v>
      </c>
      <c r="B42" s="27" t="s">
        <v>21</v>
      </c>
      <c r="C42" s="7" t="s">
        <v>128</v>
      </c>
      <c r="D42" s="7" t="s">
        <v>140</v>
      </c>
      <c r="E42" s="23" t="n">
        <v>9</v>
      </c>
      <c r="F42" s="23" t="n">
        <v>9</v>
      </c>
      <c r="G42" s="21" t="n">
        <f aca="false">F42-E42+1</f>
        <v>1</v>
      </c>
      <c r="H42" s="23" t="s">
        <v>45</v>
      </c>
      <c r="I42" s="7" t="s">
        <v>68</v>
      </c>
      <c r="J42" s="24" t="str">
        <f aca="false">IF(AND(J$4&gt;=$E42,J$4&lt;=$F42),1,"")</f>
        <v/>
      </c>
      <c r="K42" s="24" t="str">
        <f aca="false">IF(AND(K$4&gt;=$E42,K$4&lt;=$F42),1,"")</f>
        <v/>
      </c>
      <c r="L42" s="24" t="str">
        <f aca="false">IF(AND(L$4&gt;=$E42,L$4&lt;=$F42),1,"")</f>
        <v/>
      </c>
      <c r="M42" s="24" t="str">
        <f aca="false">IF(AND(M$4&gt;=$E42,M$4&lt;=$F42),1,"")</f>
        <v/>
      </c>
      <c r="N42" s="24" t="str">
        <f aca="false">IF(AND(N$4&gt;=$E42,N$4&lt;=$F42),1,"")</f>
        <v/>
      </c>
      <c r="O42" s="24" t="str">
        <f aca="false">IF(AND(O$4&gt;=$E42,O$4&lt;=$F42),1,"")</f>
        <v/>
      </c>
      <c r="P42" s="24" t="str">
        <f aca="false">IF(AND(P$4&gt;=$E42,P$4&lt;=$F42),1,"")</f>
        <v/>
      </c>
      <c r="Q42" s="24" t="str">
        <f aca="false">IF(AND(Q$4&gt;=$E42,Q$4&lt;=$F42),1,"")</f>
        <v/>
      </c>
      <c r="R42" s="24" t="n">
        <f aca="false">IF(AND(R$4&gt;=$E42,R$4&lt;=$F42),1,"")</f>
        <v>1</v>
      </c>
      <c r="S42" s="24" t="str">
        <f aca="false">IF(AND(S$4&gt;=$E42,S$4&lt;=$F42),1,"")</f>
        <v/>
      </c>
      <c r="T42" s="24" t="str">
        <f aca="false">IF(AND(T$4&gt;=$E42,T$4&lt;=$F42),1,"")</f>
        <v/>
      </c>
      <c r="U42" s="24" t="str">
        <f aca="false">IF(AND(U$4&gt;=$E42,U$4&lt;=$F42),1,"")</f>
        <v/>
      </c>
    </row>
    <row r="43" customFormat="false" ht="15" hidden="false" customHeight="true" outlineLevel="0" collapsed="false">
      <c r="A43" s="21" t="s">
        <v>141</v>
      </c>
      <c r="B43" s="27" t="s">
        <v>21</v>
      </c>
      <c r="C43" s="7" t="s">
        <v>58</v>
      </c>
      <c r="D43" s="7" t="s">
        <v>142</v>
      </c>
      <c r="E43" s="23" t="n">
        <v>10</v>
      </c>
      <c r="F43" s="23" t="n">
        <v>10</v>
      </c>
      <c r="G43" s="21" t="n">
        <f aca="false">F43-E43+1</f>
        <v>1</v>
      </c>
      <c r="H43" s="23" t="s">
        <v>45</v>
      </c>
      <c r="I43" s="7" t="s">
        <v>137</v>
      </c>
      <c r="J43" s="24" t="str">
        <f aca="false">IF(AND(J$4&gt;=$E43,J$4&lt;=$F43),1,"")</f>
        <v/>
      </c>
      <c r="K43" s="24" t="str">
        <f aca="false">IF(AND(K$4&gt;=$E43,K$4&lt;=$F43),1,"")</f>
        <v/>
      </c>
      <c r="L43" s="24" t="str">
        <f aca="false">IF(AND(L$4&gt;=$E43,L$4&lt;=$F43),1,"")</f>
        <v/>
      </c>
      <c r="M43" s="24" t="str">
        <f aca="false">IF(AND(M$4&gt;=$E43,M$4&lt;=$F43),1,"")</f>
        <v/>
      </c>
      <c r="N43" s="24" t="str">
        <f aca="false">IF(AND(N$4&gt;=$E43,N$4&lt;=$F43),1,"")</f>
        <v/>
      </c>
      <c r="O43" s="24" t="str">
        <f aca="false">IF(AND(O$4&gt;=$E43,O$4&lt;=$F43),1,"")</f>
        <v/>
      </c>
      <c r="P43" s="24" t="str">
        <f aca="false">IF(AND(P$4&gt;=$E43,P$4&lt;=$F43),1,"")</f>
        <v/>
      </c>
      <c r="Q43" s="24" t="str">
        <f aca="false">IF(AND(Q$4&gt;=$E43,Q$4&lt;=$F43),1,"")</f>
        <v/>
      </c>
      <c r="R43" s="24" t="str">
        <f aca="false">IF(AND(R$4&gt;=$E43,R$4&lt;=$F43),1,"")</f>
        <v/>
      </c>
      <c r="S43" s="24" t="n">
        <f aca="false">IF(AND(S$4&gt;=$E43,S$4&lt;=$F43),1,"")</f>
        <v>1</v>
      </c>
      <c r="T43" s="24" t="str">
        <f aca="false">IF(AND(T$4&gt;=$E43,T$4&lt;=$F43),1,"")</f>
        <v/>
      </c>
      <c r="U43" s="24" t="str">
        <f aca="false">IF(AND(U$4&gt;=$E43,U$4&lt;=$F43),1,"")</f>
        <v/>
      </c>
    </row>
    <row r="44" customFormat="false" ht="15" hidden="false" customHeight="true" outlineLevel="0" collapsed="false">
      <c r="A44" s="21" t="s">
        <v>143</v>
      </c>
      <c r="B44" s="27" t="s">
        <v>21</v>
      </c>
      <c r="C44" s="7" t="s">
        <v>128</v>
      </c>
      <c r="D44" s="7" t="s">
        <v>144</v>
      </c>
      <c r="E44" s="23" t="n">
        <v>11</v>
      </c>
      <c r="F44" s="23" t="n">
        <v>11</v>
      </c>
      <c r="G44" s="21" t="n">
        <f aca="false">F44-E44+1</f>
        <v>1</v>
      </c>
      <c r="H44" s="23" t="s">
        <v>45</v>
      </c>
      <c r="I44" s="7" t="s">
        <v>141</v>
      </c>
      <c r="J44" s="24" t="str">
        <f aca="false">IF(AND(J$4&gt;=$E44,J$4&lt;=$F44),1,"")</f>
        <v/>
      </c>
      <c r="K44" s="24" t="str">
        <f aca="false">IF(AND(K$4&gt;=$E44,K$4&lt;=$F44),1,"")</f>
        <v/>
      </c>
      <c r="L44" s="24" t="str">
        <f aca="false">IF(AND(L$4&gt;=$E44,L$4&lt;=$F44),1,"")</f>
        <v/>
      </c>
      <c r="M44" s="24" t="str">
        <f aca="false">IF(AND(M$4&gt;=$E44,M$4&lt;=$F44),1,"")</f>
        <v/>
      </c>
      <c r="N44" s="24" t="str">
        <f aca="false">IF(AND(N$4&gt;=$E44,N$4&lt;=$F44),1,"")</f>
        <v/>
      </c>
      <c r="O44" s="24" t="str">
        <f aca="false">IF(AND(O$4&gt;=$E44,O$4&lt;=$F44),1,"")</f>
        <v/>
      </c>
      <c r="P44" s="24" t="str">
        <f aca="false">IF(AND(P$4&gt;=$E44,P$4&lt;=$F44),1,"")</f>
        <v/>
      </c>
      <c r="Q44" s="24" t="str">
        <f aca="false">IF(AND(Q$4&gt;=$E44,Q$4&lt;=$F44),1,"")</f>
        <v/>
      </c>
      <c r="R44" s="24" t="str">
        <f aca="false">IF(AND(R$4&gt;=$E44,R$4&lt;=$F44),1,"")</f>
        <v/>
      </c>
      <c r="S44" s="24" t="str">
        <f aca="false">IF(AND(S$4&gt;=$E44,S$4&lt;=$F44),1,"")</f>
        <v/>
      </c>
      <c r="T44" s="24" t="n">
        <f aca="false">IF(AND(T$4&gt;=$E44,T$4&lt;=$F44),1,"")</f>
        <v>1</v>
      </c>
      <c r="U44" s="24" t="str">
        <f aca="false">IF(AND(U$4&gt;=$E44,U$4&lt;=$F44),1,"")</f>
        <v/>
      </c>
    </row>
    <row r="45" customFormat="false" ht="15" hidden="false" customHeight="true" outlineLevel="0" collapsed="false">
      <c r="A45" s="21" t="s">
        <v>145</v>
      </c>
      <c r="B45" s="27" t="s">
        <v>21</v>
      </c>
      <c r="C45" s="7" t="s">
        <v>83</v>
      </c>
      <c r="D45" s="7" t="s">
        <v>146</v>
      </c>
      <c r="E45" s="23" t="n">
        <v>12</v>
      </c>
      <c r="F45" s="23" t="n">
        <v>12</v>
      </c>
      <c r="G45" s="21" t="n">
        <f aca="false">F45-E45+1</f>
        <v>1</v>
      </c>
      <c r="H45" s="23" t="s">
        <v>45</v>
      </c>
      <c r="I45" s="7" t="s">
        <v>143</v>
      </c>
      <c r="J45" s="24" t="str">
        <f aca="false">IF(AND(J$4&gt;=$E45,J$4&lt;=$F45),1,"")</f>
        <v/>
      </c>
      <c r="K45" s="24" t="str">
        <f aca="false">IF(AND(K$4&gt;=$E45,K$4&lt;=$F45),1,"")</f>
        <v/>
      </c>
      <c r="L45" s="24" t="str">
        <f aca="false">IF(AND(L$4&gt;=$E45,L$4&lt;=$F45),1,"")</f>
        <v/>
      </c>
      <c r="M45" s="24" t="str">
        <f aca="false">IF(AND(M$4&gt;=$E45,M$4&lt;=$F45),1,"")</f>
        <v/>
      </c>
      <c r="N45" s="24" t="str">
        <f aca="false">IF(AND(N$4&gt;=$E45,N$4&lt;=$F45),1,"")</f>
        <v/>
      </c>
      <c r="O45" s="24" t="str">
        <f aca="false">IF(AND(O$4&gt;=$E45,O$4&lt;=$F45),1,"")</f>
        <v/>
      </c>
      <c r="P45" s="24" t="str">
        <f aca="false">IF(AND(P$4&gt;=$E45,P$4&lt;=$F45),1,"")</f>
        <v/>
      </c>
      <c r="Q45" s="24" t="str">
        <f aca="false">IF(AND(Q$4&gt;=$E45,Q$4&lt;=$F45),1,"")</f>
        <v/>
      </c>
      <c r="R45" s="24" t="str">
        <f aca="false">IF(AND(R$4&gt;=$E45,R$4&lt;=$F45),1,"")</f>
        <v/>
      </c>
      <c r="S45" s="24" t="str">
        <f aca="false">IF(AND(S$4&gt;=$E45,S$4&lt;=$F45),1,"")</f>
        <v/>
      </c>
      <c r="T45" s="24" t="str">
        <f aca="false">IF(AND(T$4&gt;=$E45,T$4&lt;=$F45),1,"")</f>
        <v/>
      </c>
      <c r="U45" s="24" t="n">
        <f aca="false">IF(AND(U$4&gt;=$E45,U$4&lt;=$F45),1,"")</f>
        <v>1</v>
      </c>
    </row>
    <row r="46" customFormat="false" ht="23.25" hidden="false" customHeight="true" outlineLevel="0" collapsed="false">
      <c r="A46" s="21" t="s">
        <v>147</v>
      </c>
      <c r="B46" s="22" t="s">
        <v>24</v>
      </c>
      <c r="C46" s="7" t="s">
        <v>148</v>
      </c>
      <c r="D46" s="7" t="s">
        <v>149</v>
      </c>
      <c r="E46" s="23" t="n">
        <v>6</v>
      </c>
      <c r="F46" s="23" t="n">
        <v>6</v>
      </c>
      <c r="G46" s="21" t="n">
        <f aca="false">F46-E46+1</f>
        <v>1</v>
      </c>
      <c r="H46" s="23" t="s">
        <v>45</v>
      </c>
      <c r="I46" s="7" t="s">
        <v>150</v>
      </c>
      <c r="J46" s="24" t="str">
        <f aca="false">IF(AND(J$4&gt;=$E46,J$4&lt;=$F46),1,"")</f>
        <v/>
      </c>
      <c r="K46" s="24" t="str">
        <f aca="false">IF(AND(K$4&gt;=$E46,K$4&lt;=$F46),1,"")</f>
        <v/>
      </c>
      <c r="L46" s="24" t="str">
        <f aca="false">IF(AND(L$4&gt;=$E46,L$4&lt;=$F46),1,"")</f>
        <v/>
      </c>
      <c r="M46" s="24" t="str">
        <f aca="false">IF(AND(M$4&gt;=$E46,M$4&lt;=$F46),1,"")</f>
        <v/>
      </c>
      <c r="N46" s="24" t="str">
        <f aca="false">IF(AND(N$4&gt;=$E46,N$4&lt;=$F46),1,"")</f>
        <v/>
      </c>
      <c r="O46" s="24" t="n">
        <f aca="false">IF(AND(O$4&gt;=$E46,O$4&lt;=$F46),1,"")</f>
        <v>1</v>
      </c>
      <c r="P46" s="24" t="str">
        <f aca="false">IF(AND(P$4&gt;=$E46,P$4&lt;=$F46),1,"")</f>
        <v/>
      </c>
      <c r="Q46" s="24" t="str">
        <f aca="false">IF(AND(Q$4&gt;=$E46,Q$4&lt;=$F46),1,"")</f>
        <v/>
      </c>
      <c r="R46" s="24" t="str">
        <f aca="false">IF(AND(R$4&gt;=$E46,R$4&lt;=$F46),1,"")</f>
        <v/>
      </c>
      <c r="S46" s="24" t="str">
        <f aca="false">IF(AND(S$4&gt;=$E46,S$4&lt;=$F46),1,"")</f>
        <v/>
      </c>
      <c r="T46" s="24" t="str">
        <f aca="false">IF(AND(T$4&gt;=$E46,T$4&lt;=$F46),1,"")</f>
        <v/>
      </c>
      <c r="U46" s="24" t="str">
        <f aca="false">IF(AND(U$4&gt;=$E46,U$4&lt;=$F46),1,"")</f>
        <v/>
      </c>
    </row>
    <row r="47" customFormat="false" ht="23.25" hidden="false" customHeight="true" outlineLevel="0" collapsed="false">
      <c r="A47" s="21" t="s">
        <v>151</v>
      </c>
      <c r="B47" s="22" t="s">
        <v>24</v>
      </c>
      <c r="C47" s="7" t="s">
        <v>152</v>
      </c>
      <c r="D47" s="7" t="s">
        <v>153</v>
      </c>
      <c r="E47" s="23" t="n">
        <v>9</v>
      </c>
      <c r="F47" s="23" t="n">
        <v>9</v>
      </c>
      <c r="G47" s="21" t="n">
        <f aca="false">F47-E47+1</f>
        <v>1</v>
      </c>
      <c r="H47" s="23" t="s">
        <v>45</v>
      </c>
      <c r="I47" s="7" t="s">
        <v>73</v>
      </c>
      <c r="J47" s="24" t="str">
        <f aca="false">IF(AND(J$4&gt;=$E47,J$4&lt;=$F47),1,"")</f>
        <v/>
      </c>
      <c r="K47" s="24" t="str">
        <f aca="false">IF(AND(K$4&gt;=$E47,K$4&lt;=$F47),1,"")</f>
        <v/>
      </c>
      <c r="L47" s="24" t="str">
        <f aca="false">IF(AND(L$4&gt;=$E47,L$4&lt;=$F47),1,"")</f>
        <v/>
      </c>
      <c r="M47" s="24" t="str">
        <f aca="false">IF(AND(M$4&gt;=$E47,M$4&lt;=$F47),1,"")</f>
        <v/>
      </c>
      <c r="N47" s="24" t="str">
        <f aca="false">IF(AND(N$4&gt;=$E47,N$4&lt;=$F47),1,"")</f>
        <v/>
      </c>
      <c r="O47" s="24" t="str">
        <f aca="false">IF(AND(O$4&gt;=$E47,O$4&lt;=$F47),1,"")</f>
        <v/>
      </c>
      <c r="P47" s="24" t="str">
        <f aca="false">IF(AND(P$4&gt;=$E47,P$4&lt;=$F47),1,"")</f>
        <v/>
      </c>
      <c r="Q47" s="24" t="str">
        <f aca="false">IF(AND(Q$4&gt;=$E47,Q$4&lt;=$F47),1,"")</f>
        <v/>
      </c>
      <c r="R47" s="24" t="n">
        <f aca="false">IF(AND(R$4&gt;=$E47,R$4&lt;=$F47),1,"")</f>
        <v>1</v>
      </c>
      <c r="S47" s="24" t="str">
        <f aca="false">IF(AND(S$4&gt;=$E47,S$4&lt;=$F47),1,"")</f>
        <v/>
      </c>
      <c r="T47" s="24" t="str">
        <f aca="false">IF(AND(T$4&gt;=$E47,T$4&lt;=$F47),1,"")</f>
        <v/>
      </c>
      <c r="U47" s="24" t="str">
        <f aca="false">IF(AND(U$4&gt;=$E47,U$4&lt;=$F47),1,"")</f>
        <v/>
      </c>
    </row>
    <row r="48" customFormat="false" ht="15" hidden="false" customHeight="true" outlineLevel="0" collapsed="false">
      <c r="A48" s="21" t="s">
        <v>154</v>
      </c>
      <c r="B48" s="22" t="s">
        <v>24</v>
      </c>
      <c r="C48" s="7" t="s">
        <v>152</v>
      </c>
      <c r="D48" s="7" t="s">
        <v>155</v>
      </c>
      <c r="E48" s="23" t="n">
        <v>12</v>
      </c>
      <c r="F48" s="23" t="n">
        <v>12</v>
      </c>
      <c r="G48" s="21" t="n">
        <f aca="false">F48-E48+1</f>
        <v>1</v>
      </c>
      <c r="H48" s="23" t="s">
        <v>45</v>
      </c>
      <c r="I48" s="7" t="s">
        <v>156</v>
      </c>
      <c r="J48" s="24" t="str">
        <f aca="false">IF(AND(J$4&gt;=$E48,J$4&lt;=$F48),1,"")</f>
        <v/>
      </c>
      <c r="K48" s="24" t="str">
        <f aca="false">IF(AND(K$4&gt;=$E48,K$4&lt;=$F48),1,"")</f>
        <v/>
      </c>
      <c r="L48" s="24" t="str">
        <f aca="false">IF(AND(L$4&gt;=$E48,L$4&lt;=$F48),1,"")</f>
        <v/>
      </c>
      <c r="M48" s="24" t="str">
        <f aca="false">IF(AND(M$4&gt;=$E48,M$4&lt;=$F48),1,"")</f>
        <v/>
      </c>
      <c r="N48" s="24" t="str">
        <f aca="false">IF(AND(N$4&gt;=$E48,N$4&lt;=$F48),1,"")</f>
        <v/>
      </c>
      <c r="O48" s="24" t="str">
        <f aca="false">IF(AND(O$4&gt;=$E48,O$4&lt;=$F48),1,"")</f>
        <v/>
      </c>
      <c r="P48" s="24" t="str">
        <f aca="false">IF(AND(P$4&gt;=$E48,P$4&lt;=$F48),1,"")</f>
        <v/>
      </c>
      <c r="Q48" s="24" t="str">
        <f aca="false">IF(AND(Q$4&gt;=$E48,Q$4&lt;=$F48),1,"")</f>
        <v/>
      </c>
      <c r="R48" s="24" t="str">
        <f aca="false">IF(AND(R$4&gt;=$E48,R$4&lt;=$F48),1,"")</f>
        <v/>
      </c>
      <c r="S48" s="24" t="str">
        <f aca="false">IF(AND(S$4&gt;=$E48,S$4&lt;=$F48),1,"")</f>
        <v/>
      </c>
      <c r="T48" s="24" t="str">
        <f aca="false">IF(AND(T$4&gt;=$E48,T$4&lt;=$F48),1,"")</f>
        <v/>
      </c>
      <c r="U48" s="24" t="n">
        <f aca="false">IF(AND(U$4&gt;=$E48,U$4&lt;=$F48),1,"")</f>
        <v>1</v>
      </c>
    </row>
  </sheetData>
  <autoFilter ref="A4:I48"/>
  <mergeCells count="1">
    <mergeCell ref="A2:U2"/>
  </mergeCells>
  <conditionalFormatting sqref="J5:U48">
    <cfRule type="expression" priority="2" aboveAverage="0" equalAverage="0" bottom="0" percent="0" rank="0" text="" dxfId="8">
      <formula>AND(J5=1,$B5="Человек 1")</formula>
    </cfRule>
    <cfRule type="expression" priority="3" aboveAverage="0" equalAverage="0" bottom="0" percent="0" rank="0" text="" dxfId="9">
      <formula>AND(J5=1,$B5="Человек 2")</formula>
    </cfRule>
    <cfRule type="expression" priority="4" aboveAverage="0" equalAverage="0" bottom="0" percent="0" rank="0" text="" dxfId="10">
      <formula>AND(J5=1,$B5="Человек 3")</formula>
    </cfRule>
    <cfRule type="expression" priority="5" aboveAverage="0" equalAverage="0" bottom="0" percent="0" rank="0" text="" dxfId="11">
      <formula>AND(J5=1,$B5="Все")</formula>
    </cfRule>
  </conditionalFormatting>
  <conditionalFormatting sqref="H5:H48">
    <cfRule type="expression" priority="6" aboveAverage="0" equalAverage="0" bottom="0" percent="0" rank="0" text="" dxfId="12">
      <formula>$H5="Готово"</formula>
    </cfRule>
    <cfRule type="expression" priority="7" aboveAverage="0" equalAverage="0" bottom="0" percent="0" rank="0" text="" dxfId="13">
      <formula>$H5="В работе"</formula>
    </cfRule>
    <cfRule type="expression" priority="8" aboveAverage="0" equalAverage="0" bottom="0" percent="0" rank="0" text="" dxfId="14">
      <formula>$H5="Блокировано"</formula>
    </cfRule>
  </conditionalFormatting>
  <dataValidations count="2">
    <dataValidation allowBlank="false" errorStyle="stop" operator="between" showDropDown="false" showErrorMessage="false" showInputMessage="false" sqref="H5:H48" type="list">
      <formula1>"Не начато,В работе,Готово,Блокировано"</formula1>
      <formula2>0</formula2>
    </dataValidation>
    <dataValidation allowBlank="false" errorStyle="stop" operator="between" showDropDown="false" showErrorMessage="false" showInputMessage="false" sqref="E5:F48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80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8" min="7" style="0" width="8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28" t="s">
        <v>157</v>
      </c>
    </row>
    <row r="2" customFormat="false" ht="15" hidden="false" customHeight="false" outlineLevel="0" collapsed="false">
      <c r="A2" s="18" t="s">
        <v>158</v>
      </c>
    </row>
    <row r="4" customFormat="false" ht="30" hidden="false" customHeight="true" outlineLevel="0" collapsed="false">
      <c r="A4" s="4" t="s">
        <v>159</v>
      </c>
      <c r="B4" s="4" t="s">
        <v>160</v>
      </c>
      <c r="C4" s="4" t="s">
        <v>35</v>
      </c>
      <c r="D4" s="4" t="s">
        <v>161</v>
      </c>
      <c r="E4" s="4" t="s">
        <v>162</v>
      </c>
      <c r="F4" s="4" t="s">
        <v>163</v>
      </c>
      <c r="G4" s="4" t="s">
        <v>164</v>
      </c>
      <c r="H4" s="4" t="s">
        <v>165</v>
      </c>
      <c r="I4" s="4" t="s">
        <v>40</v>
      </c>
      <c r="J4" s="4" t="s">
        <v>166</v>
      </c>
    </row>
    <row r="5" customFormat="false" ht="35.05" hidden="false" customHeight="false" outlineLevel="0" collapsed="false">
      <c r="A5" s="29" t="s">
        <v>167</v>
      </c>
      <c r="B5" s="29" t="s">
        <v>168</v>
      </c>
      <c r="C5" s="30" t="s">
        <v>47</v>
      </c>
      <c r="D5" s="31" t="s">
        <v>169</v>
      </c>
      <c r="E5" s="31" t="s">
        <v>170</v>
      </c>
      <c r="F5" s="31" t="s">
        <v>171</v>
      </c>
      <c r="G5" s="32" t="n">
        <v>1</v>
      </c>
      <c r="H5" s="32" t="n">
        <v>2</v>
      </c>
      <c r="I5" s="32" t="s">
        <v>45</v>
      </c>
      <c r="J5" s="33"/>
    </row>
    <row r="6" customFormat="false" ht="23.85" hidden="false" customHeight="false" outlineLevel="0" collapsed="false">
      <c r="A6" s="29" t="s">
        <v>172</v>
      </c>
      <c r="B6" s="29" t="s">
        <v>168</v>
      </c>
      <c r="C6" s="30" t="s">
        <v>47</v>
      </c>
      <c r="D6" s="31" t="s">
        <v>173</v>
      </c>
      <c r="E6" s="31" t="s">
        <v>174</v>
      </c>
      <c r="F6" s="31" t="s">
        <v>175</v>
      </c>
      <c r="G6" s="32" t="n">
        <v>1</v>
      </c>
      <c r="H6" s="32" t="n">
        <v>2</v>
      </c>
      <c r="I6" s="32" t="s">
        <v>45</v>
      </c>
      <c r="J6" s="33"/>
    </row>
    <row r="7" customFormat="false" ht="15" hidden="false" customHeight="false" outlineLevel="0" collapsed="false">
      <c r="A7" s="29" t="s">
        <v>176</v>
      </c>
      <c r="B7" s="29" t="s">
        <v>168</v>
      </c>
      <c r="C7" s="30" t="s">
        <v>47</v>
      </c>
      <c r="D7" s="31" t="s">
        <v>177</v>
      </c>
      <c r="E7" s="31" t="s">
        <v>178</v>
      </c>
      <c r="F7" s="31" t="s">
        <v>175</v>
      </c>
      <c r="G7" s="32" t="n">
        <v>2</v>
      </c>
      <c r="H7" s="32" t="n">
        <v>3</v>
      </c>
      <c r="I7" s="32" t="s">
        <v>45</v>
      </c>
      <c r="J7" s="33"/>
    </row>
    <row r="8" customFormat="false" ht="23.85" hidden="false" customHeight="false" outlineLevel="0" collapsed="false">
      <c r="A8" s="29" t="s">
        <v>179</v>
      </c>
      <c r="B8" s="29" t="s">
        <v>180</v>
      </c>
      <c r="C8" s="30" t="s">
        <v>47</v>
      </c>
      <c r="D8" s="31" t="s">
        <v>181</v>
      </c>
      <c r="E8" s="31" t="s">
        <v>182</v>
      </c>
      <c r="F8" s="31" t="s">
        <v>183</v>
      </c>
      <c r="G8" s="32" t="n">
        <v>1</v>
      </c>
      <c r="H8" s="32" t="n">
        <v>1</v>
      </c>
      <c r="I8" s="32" t="s">
        <v>45</v>
      </c>
      <c r="J8" s="33"/>
    </row>
    <row r="9" customFormat="false" ht="23.85" hidden="false" customHeight="false" outlineLevel="0" collapsed="false">
      <c r="A9" s="29" t="s">
        <v>184</v>
      </c>
      <c r="B9" s="29" t="s">
        <v>185</v>
      </c>
      <c r="C9" s="30" t="s">
        <v>47</v>
      </c>
      <c r="D9" s="31" t="s">
        <v>186</v>
      </c>
      <c r="E9" s="31" t="s">
        <v>187</v>
      </c>
      <c r="F9" s="31" t="s">
        <v>188</v>
      </c>
      <c r="G9" s="32" t="n">
        <v>2</v>
      </c>
      <c r="H9" s="32" t="n">
        <v>3</v>
      </c>
      <c r="I9" s="32" t="s">
        <v>45</v>
      </c>
      <c r="J9" s="33"/>
    </row>
    <row r="10" customFormat="false" ht="23.85" hidden="false" customHeight="false" outlineLevel="0" collapsed="false">
      <c r="A10" s="29" t="s">
        <v>189</v>
      </c>
      <c r="B10" s="29" t="s">
        <v>190</v>
      </c>
      <c r="C10" s="30" t="s">
        <v>191</v>
      </c>
      <c r="D10" s="31" t="s">
        <v>192</v>
      </c>
      <c r="E10" s="31" t="s">
        <v>193</v>
      </c>
      <c r="F10" s="31" t="s">
        <v>194</v>
      </c>
      <c r="G10" s="32" t="n">
        <v>2</v>
      </c>
      <c r="H10" s="32" t="n">
        <v>3</v>
      </c>
      <c r="I10" s="32" t="s">
        <v>45</v>
      </c>
      <c r="J10" s="33"/>
    </row>
    <row r="11" customFormat="false" ht="23.85" hidden="false" customHeight="false" outlineLevel="0" collapsed="false">
      <c r="A11" s="29" t="s">
        <v>195</v>
      </c>
      <c r="B11" s="29" t="s">
        <v>190</v>
      </c>
      <c r="C11" s="30" t="s">
        <v>191</v>
      </c>
      <c r="D11" s="31" t="s">
        <v>196</v>
      </c>
      <c r="E11" s="31" t="s">
        <v>197</v>
      </c>
      <c r="F11" s="31" t="s">
        <v>194</v>
      </c>
      <c r="G11" s="32" t="n">
        <v>2</v>
      </c>
      <c r="H11" s="32" t="n">
        <v>3</v>
      </c>
      <c r="I11" s="32" t="s">
        <v>45</v>
      </c>
      <c r="J11" s="33"/>
    </row>
    <row r="12" customFormat="false" ht="23.85" hidden="false" customHeight="false" outlineLevel="0" collapsed="false">
      <c r="A12" s="29" t="s">
        <v>198</v>
      </c>
      <c r="B12" s="29" t="s">
        <v>190</v>
      </c>
      <c r="C12" s="30" t="s">
        <v>191</v>
      </c>
      <c r="D12" s="31" t="s">
        <v>199</v>
      </c>
      <c r="E12" s="31" t="s">
        <v>200</v>
      </c>
      <c r="F12" s="31" t="s">
        <v>201</v>
      </c>
      <c r="G12" s="32" t="n">
        <v>2</v>
      </c>
      <c r="H12" s="32" t="n">
        <v>3</v>
      </c>
      <c r="I12" s="32" t="s">
        <v>45</v>
      </c>
      <c r="J12" s="33"/>
    </row>
    <row r="13" customFormat="false" ht="23.85" hidden="false" customHeight="false" outlineLevel="0" collapsed="false">
      <c r="A13" s="29" t="s">
        <v>202</v>
      </c>
      <c r="B13" s="29" t="s">
        <v>190</v>
      </c>
      <c r="C13" s="30" t="s">
        <v>191</v>
      </c>
      <c r="D13" s="31" t="s">
        <v>203</v>
      </c>
      <c r="E13" s="31" t="s">
        <v>204</v>
      </c>
      <c r="F13" s="31" t="s">
        <v>201</v>
      </c>
      <c r="G13" s="32" t="n">
        <v>3</v>
      </c>
      <c r="H13" s="32" t="n">
        <v>4</v>
      </c>
      <c r="I13" s="32" t="s">
        <v>45</v>
      </c>
      <c r="J13" s="33"/>
    </row>
    <row r="14" customFormat="false" ht="35.05" hidden="false" customHeight="false" outlineLevel="0" collapsed="false">
      <c r="A14" s="29" t="s">
        <v>205</v>
      </c>
      <c r="B14" s="29" t="s">
        <v>206</v>
      </c>
      <c r="C14" s="30" t="s">
        <v>191</v>
      </c>
      <c r="D14" s="31" t="s">
        <v>207</v>
      </c>
      <c r="E14" s="31" t="s">
        <v>208</v>
      </c>
      <c r="F14" s="31" t="s">
        <v>209</v>
      </c>
      <c r="G14" s="32" t="n">
        <v>3</v>
      </c>
      <c r="H14" s="32" t="n">
        <v>4</v>
      </c>
      <c r="I14" s="32" t="s">
        <v>45</v>
      </c>
      <c r="J14" s="33"/>
    </row>
    <row r="15" customFormat="false" ht="23.85" hidden="false" customHeight="false" outlineLevel="0" collapsed="false">
      <c r="A15" s="29" t="s">
        <v>210</v>
      </c>
      <c r="B15" s="29" t="s">
        <v>211</v>
      </c>
      <c r="C15" s="30" t="s">
        <v>191</v>
      </c>
      <c r="D15" s="31" t="s">
        <v>212</v>
      </c>
      <c r="E15" s="31" t="s">
        <v>213</v>
      </c>
      <c r="F15" s="31" t="s">
        <v>214</v>
      </c>
      <c r="G15" s="32" t="n">
        <v>4</v>
      </c>
      <c r="H15" s="32" t="n">
        <v>5</v>
      </c>
      <c r="I15" s="32" t="s">
        <v>45</v>
      </c>
      <c r="J15" s="33"/>
    </row>
    <row r="16" customFormat="false" ht="23.85" hidden="false" customHeight="false" outlineLevel="0" collapsed="false">
      <c r="A16" s="29" t="s">
        <v>215</v>
      </c>
      <c r="B16" s="29" t="s">
        <v>190</v>
      </c>
      <c r="C16" s="30" t="s">
        <v>201</v>
      </c>
      <c r="D16" s="31" t="s">
        <v>216</v>
      </c>
      <c r="E16" s="31" t="s">
        <v>217</v>
      </c>
      <c r="F16" s="31" t="s">
        <v>218</v>
      </c>
      <c r="G16" s="32" t="n">
        <v>2</v>
      </c>
      <c r="H16" s="32" t="n">
        <v>3</v>
      </c>
      <c r="I16" s="32" t="s">
        <v>45</v>
      </c>
      <c r="J16" s="33"/>
    </row>
    <row r="17" customFormat="false" ht="23.85" hidden="false" customHeight="false" outlineLevel="0" collapsed="false">
      <c r="A17" s="29" t="s">
        <v>219</v>
      </c>
      <c r="B17" s="29" t="s">
        <v>190</v>
      </c>
      <c r="C17" s="30" t="s">
        <v>201</v>
      </c>
      <c r="D17" s="31" t="s">
        <v>220</v>
      </c>
      <c r="E17" s="31" t="s">
        <v>221</v>
      </c>
      <c r="F17" s="31" t="s">
        <v>201</v>
      </c>
      <c r="G17" s="32" t="n">
        <v>2</v>
      </c>
      <c r="H17" s="32" t="n">
        <v>3</v>
      </c>
      <c r="I17" s="32" t="s">
        <v>45</v>
      </c>
      <c r="J17" s="33"/>
    </row>
    <row r="18" customFormat="false" ht="23.85" hidden="false" customHeight="false" outlineLevel="0" collapsed="false">
      <c r="A18" s="29" t="s">
        <v>222</v>
      </c>
      <c r="B18" s="29" t="s">
        <v>190</v>
      </c>
      <c r="C18" s="30" t="s">
        <v>201</v>
      </c>
      <c r="D18" s="31" t="s">
        <v>223</v>
      </c>
      <c r="E18" s="31" t="s">
        <v>224</v>
      </c>
      <c r="F18" s="31" t="s">
        <v>201</v>
      </c>
      <c r="G18" s="32" t="n">
        <v>4</v>
      </c>
      <c r="H18" s="32" t="n">
        <v>5</v>
      </c>
      <c r="I18" s="32" t="s">
        <v>45</v>
      </c>
      <c r="J18" s="33"/>
    </row>
    <row r="19" customFormat="false" ht="23.85" hidden="false" customHeight="false" outlineLevel="0" collapsed="false">
      <c r="A19" s="29" t="s">
        <v>225</v>
      </c>
      <c r="B19" s="29" t="s">
        <v>190</v>
      </c>
      <c r="C19" s="30" t="s">
        <v>201</v>
      </c>
      <c r="D19" s="31" t="s">
        <v>226</v>
      </c>
      <c r="E19" s="31" t="s">
        <v>224</v>
      </c>
      <c r="F19" s="31" t="s">
        <v>201</v>
      </c>
      <c r="G19" s="32" t="n">
        <v>4</v>
      </c>
      <c r="H19" s="32" t="n">
        <v>5</v>
      </c>
      <c r="I19" s="32" t="s">
        <v>45</v>
      </c>
      <c r="J19" s="33"/>
    </row>
    <row r="20" customFormat="false" ht="23.85" hidden="false" customHeight="false" outlineLevel="0" collapsed="false">
      <c r="A20" s="29" t="s">
        <v>227</v>
      </c>
      <c r="B20" s="29" t="s">
        <v>228</v>
      </c>
      <c r="C20" s="30" t="s">
        <v>201</v>
      </c>
      <c r="D20" s="31" t="s">
        <v>229</v>
      </c>
      <c r="E20" s="31" t="s">
        <v>230</v>
      </c>
      <c r="F20" s="31" t="s">
        <v>231</v>
      </c>
      <c r="G20" s="32" t="n">
        <v>4</v>
      </c>
      <c r="H20" s="32" t="n">
        <v>5</v>
      </c>
      <c r="I20" s="32" t="s">
        <v>45</v>
      </c>
      <c r="J20" s="33"/>
    </row>
    <row r="21" customFormat="false" ht="23.85" hidden="false" customHeight="false" outlineLevel="0" collapsed="false">
      <c r="A21" s="29" t="s">
        <v>232</v>
      </c>
      <c r="B21" s="29" t="s">
        <v>190</v>
      </c>
      <c r="C21" s="30" t="s">
        <v>201</v>
      </c>
      <c r="D21" s="31" t="s">
        <v>233</v>
      </c>
      <c r="E21" s="31" t="s">
        <v>234</v>
      </c>
      <c r="F21" s="31" t="s">
        <v>235</v>
      </c>
      <c r="G21" s="32" t="n">
        <v>4</v>
      </c>
      <c r="H21" s="32" t="n">
        <v>5</v>
      </c>
      <c r="I21" s="32" t="s">
        <v>45</v>
      </c>
      <c r="J21" s="33"/>
    </row>
    <row r="22" customFormat="false" ht="23.85" hidden="false" customHeight="false" outlineLevel="0" collapsed="false">
      <c r="A22" s="29" t="s">
        <v>236</v>
      </c>
      <c r="B22" s="29" t="s">
        <v>190</v>
      </c>
      <c r="C22" s="30" t="s">
        <v>201</v>
      </c>
      <c r="D22" s="31" t="s">
        <v>237</v>
      </c>
      <c r="E22" s="31" t="s">
        <v>238</v>
      </c>
      <c r="F22" s="31" t="s">
        <v>239</v>
      </c>
      <c r="G22" s="32" t="n">
        <v>7</v>
      </c>
      <c r="H22" s="32" t="n">
        <v>8</v>
      </c>
      <c r="I22" s="32" t="s">
        <v>45</v>
      </c>
      <c r="J22" s="33"/>
    </row>
    <row r="23" customFormat="false" ht="23.85" hidden="false" customHeight="false" outlineLevel="0" collapsed="false">
      <c r="A23" s="29" t="s">
        <v>240</v>
      </c>
      <c r="B23" s="29" t="s">
        <v>190</v>
      </c>
      <c r="C23" s="30" t="s">
        <v>201</v>
      </c>
      <c r="D23" s="31" t="s">
        <v>241</v>
      </c>
      <c r="E23" s="31" t="s">
        <v>242</v>
      </c>
      <c r="F23" s="31" t="s">
        <v>243</v>
      </c>
      <c r="G23" s="32" t="n">
        <v>5</v>
      </c>
      <c r="H23" s="32" t="n">
        <v>6</v>
      </c>
      <c r="I23" s="32" t="s">
        <v>45</v>
      </c>
      <c r="J23" s="33"/>
    </row>
    <row r="24" customFormat="false" ht="23.85" hidden="false" customHeight="false" outlineLevel="0" collapsed="false">
      <c r="A24" s="29" t="s">
        <v>244</v>
      </c>
      <c r="B24" s="29" t="s">
        <v>245</v>
      </c>
      <c r="C24" s="30" t="s">
        <v>246</v>
      </c>
      <c r="D24" s="31" t="s">
        <v>247</v>
      </c>
      <c r="E24" s="31" t="s">
        <v>248</v>
      </c>
      <c r="F24" s="31" t="s">
        <v>249</v>
      </c>
      <c r="G24" s="32" t="n">
        <v>4</v>
      </c>
      <c r="H24" s="32" t="n">
        <v>5</v>
      </c>
      <c r="I24" s="32" t="s">
        <v>45</v>
      </c>
      <c r="J24" s="33"/>
    </row>
    <row r="25" customFormat="false" ht="23.85" hidden="false" customHeight="false" outlineLevel="0" collapsed="false">
      <c r="A25" s="29" t="s">
        <v>250</v>
      </c>
      <c r="B25" s="29" t="s">
        <v>251</v>
      </c>
      <c r="C25" s="30" t="s">
        <v>246</v>
      </c>
      <c r="D25" s="31" t="s">
        <v>252</v>
      </c>
      <c r="E25" s="31" t="s">
        <v>253</v>
      </c>
      <c r="F25" s="31" t="s">
        <v>254</v>
      </c>
      <c r="G25" s="32" t="n">
        <v>4</v>
      </c>
      <c r="H25" s="32" t="n">
        <v>5</v>
      </c>
      <c r="I25" s="32" t="s">
        <v>45</v>
      </c>
      <c r="J25" s="33"/>
    </row>
    <row r="26" customFormat="false" ht="23.85" hidden="false" customHeight="false" outlineLevel="0" collapsed="false">
      <c r="A26" s="29" t="s">
        <v>255</v>
      </c>
      <c r="B26" s="29" t="s">
        <v>245</v>
      </c>
      <c r="C26" s="30" t="s">
        <v>246</v>
      </c>
      <c r="D26" s="31" t="s">
        <v>256</v>
      </c>
      <c r="E26" s="31" t="s">
        <v>257</v>
      </c>
      <c r="F26" s="31" t="s">
        <v>258</v>
      </c>
      <c r="G26" s="32" t="n">
        <v>5</v>
      </c>
      <c r="H26" s="32" t="n">
        <v>6</v>
      </c>
      <c r="I26" s="32" t="s">
        <v>45</v>
      </c>
      <c r="J26" s="33"/>
    </row>
    <row r="27" customFormat="false" ht="15" hidden="false" customHeight="false" outlineLevel="0" collapsed="false">
      <c r="A27" s="29" t="s">
        <v>259</v>
      </c>
      <c r="B27" s="29" t="s">
        <v>245</v>
      </c>
      <c r="C27" s="30" t="s">
        <v>246</v>
      </c>
      <c r="D27" s="31" t="s">
        <v>260</v>
      </c>
      <c r="E27" s="31" t="s">
        <v>261</v>
      </c>
      <c r="F27" s="31" t="s">
        <v>262</v>
      </c>
      <c r="G27" s="32" t="n">
        <v>5</v>
      </c>
      <c r="H27" s="32" t="n">
        <v>6</v>
      </c>
      <c r="I27" s="32" t="s">
        <v>45</v>
      </c>
      <c r="J27" s="33"/>
    </row>
    <row r="28" customFormat="false" ht="23.85" hidden="false" customHeight="false" outlineLevel="0" collapsed="false">
      <c r="A28" s="29" t="s">
        <v>263</v>
      </c>
      <c r="B28" s="29" t="s">
        <v>245</v>
      </c>
      <c r="C28" s="30" t="s">
        <v>246</v>
      </c>
      <c r="D28" s="31" t="s">
        <v>264</v>
      </c>
      <c r="E28" s="31" t="s">
        <v>265</v>
      </c>
      <c r="F28" s="31" t="s">
        <v>262</v>
      </c>
      <c r="G28" s="32" t="n">
        <v>5</v>
      </c>
      <c r="H28" s="32" t="n">
        <v>6</v>
      </c>
      <c r="I28" s="32" t="s">
        <v>45</v>
      </c>
      <c r="J28" s="33"/>
    </row>
    <row r="29" customFormat="false" ht="15" hidden="false" customHeight="false" outlineLevel="0" collapsed="false">
      <c r="A29" s="29" t="s">
        <v>266</v>
      </c>
      <c r="B29" s="29" t="s">
        <v>245</v>
      </c>
      <c r="C29" s="30" t="s">
        <v>246</v>
      </c>
      <c r="D29" s="31" t="s">
        <v>267</v>
      </c>
      <c r="E29" s="31" t="s">
        <v>268</v>
      </c>
      <c r="F29" s="31" t="s">
        <v>262</v>
      </c>
      <c r="G29" s="32" t="n">
        <v>5</v>
      </c>
      <c r="H29" s="32" t="n">
        <v>6</v>
      </c>
      <c r="I29" s="32" t="s">
        <v>45</v>
      </c>
      <c r="J29" s="33"/>
    </row>
    <row r="30" customFormat="false" ht="15" hidden="false" customHeight="false" outlineLevel="0" collapsed="false">
      <c r="A30" s="29" t="s">
        <v>269</v>
      </c>
      <c r="B30" s="29" t="s">
        <v>245</v>
      </c>
      <c r="C30" s="30" t="s">
        <v>246</v>
      </c>
      <c r="D30" s="31" t="s">
        <v>270</v>
      </c>
      <c r="E30" s="31" t="s">
        <v>271</v>
      </c>
      <c r="F30" s="31" t="s">
        <v>262</v>
      </c>
      <c r="G30" s="32" t="n">
        <v>5</v>
      </c>
      <c r="H30" s="32" t="n">
        <v>6</v>
      </c>
      <c r="I30" s="32" t="s">
        <v>45</v>
      </c>
      <c r="J30" s="33"/>
    </row>
    <row r="31" customFormat="false" ht="23.85" hidden="false" customHeight="false" outlineLevel="0" collapsed="false">
      <c r="A31" s="29" t="s">
        <v>272</v>
      </c>
      <c r="B31" s="29" t="s">
        <v>245</v>
      </c>
      <c r="C31" s="30" t="s">
        <v>246</v>
      </c>
      <c r="D31" s="31" t="s">
        <v>273</v>
      </c>
      <c r="E31" s="31" t="s">
        <v>274</v>
      </c>
      <c r="F31" s="31" t="s">
        <v>262</v>
      </c>
      <c r="G31" s="32" t="n">
        <v>5</v>
      </c>
      <c r="H31" s="32" t="n">
        <v>6</v>
      </c>
      <c r="I31" s="32" t="s">
        <v>45</v>
      </c>
      <c r="J31" s="33"/>
    </row>
    <row r="32" customFormat="false" ht="23.85" hidden="false" customHeight="false" outlineLevel="0" collapsed="false">
      <c r="A32" s="29" t="s">
        <v>275</v>
      </c>
      <c r="B32" s="29" t="s">
        <v>245</v>
      </c>
      <c r="C32" s="30" t="s">
        <v>246</v>
      </c>
      <c r="D32" s="31" t="s">
        <v>276</v>
      </c>
      <c r="E32" s="31" t="s">
        <v>277</v>
      </c>
      <c r="F32" s="31" t="s">
        <v>262</v>
      </c>
      <c r="G32" s="32" t="n">
        <v>5</v>
      </c>
      <c r="H32" s="32" t="n">
        <v>6</v>
      </c>
      <c r="I32" s="32" t="s">
        <v>45</v>
      </c>
      <c r="J32" s="33"/>
    </row>
    <row r="33" customFormat="false" ht="35.05" hidden="false" customHeight="false" outlineLevel="0" collapsed="false">
      <c r="A33" s="29" t="s">
        <v>278</v>
      </c>
      <c r="B33" s="29" t="s">
        <v>279</v>
      </c>
      <c r="C33" s="30" t="s">
        <v>246</v>
      </c>
      <c r="D33" s="31" t="s">
        <v>280</v>
      </c>
      <c r="E33" s="31" t="s">
        <v>281</v>
      </c>
      <c r="F33" s="31" t="s">
        <v>262</v>
      </c>
      <c r="G33" s="32" t="n">
        <v>6</v>
      </c>
      <c r="H33" s="32" t="n">
        <v>6</v>
      </c>
      <c r="I33" s="32" t="s">
        <v>45</v>
      </c>
      <c r="J33" s="33"/>
    </row>
    <row r="34" customFormat="false" ht="23.85" hidden="false" customHeight="false" outlineLevel="0" collapsed="false">
      <c r="A34" s="29" t="s">
        <v>282</v>
      </c>
      <c r="B34" s="29" t="s">
        <v>279</v>
      </c>
      <c r="C34" s="30" t="s">
        <v>246</v>
      </c>
      <c r="D34" s="31" t="s">
        <v>283</v>
      </c>
      <c r="E34" s="31" t="s">
        <v>284</v>
      </c>
      <c r="F34" s="31" t="s">
        <v>262</v>
      </c>
      <c r="G34" s="32" t="n">
        <v>6</v>
      </c>
      <c r="H34" s="32" t="n">
        <v>7</v>
      </c>
      <c r="I34" s="32" t="s">
        <v>45</v>
      </c>
      <c r="J34" s="33"/>
    </row>
    <row r="35" customFormat="false" ht="23.85" hidden="false" customHeight="false" outlineLevel="0" collapsed="false">
      <c r="A35" s="29" t="s">
        <v>285</v>
      </c>
      <c r="B35" s="29" t="s">
        <v>286</v>
      </c>
      <c r="C35" s="30" t="s">
        <v>246</v>
      </c>
      <c r="D35" s="31" t="s">
        <v>287</v>
      </c>
      <c r="E35" s="31" t="s">
        <v>288</v>
      </c>
      <c r="F35" s="31" t="s">
        <v>262</v>
      </c>
      <c r="G35" s="32" t="n">
        <v>6</v>
      </c>
      <c r="H35" s="32" t="n">
        <v>7</v>
      </c>
      <c r="I35" s="32" t="s">
        <v>45</v>
      </c>
      <c r="J35" s="33"/>
    </row>
    <row r="36" customFormat="false" ht="23.85" hidden="false" customHeight="false" outlineLevel="0" collapsed="false">
      <c r="A36" s="29" t="s">
        <v>289</v>
      </c>
      <c r="B36" s="29" t="s">
        <v>290</v>
      </c>
      <c r="C36" s="30" t="s">
        <v>246</v>
      </c>
      <c r="D36" s="31" t="s">
        <v>291</v>
      </c>
      <c r="E36" s="31" t="s">
        <v>292</v>
      </c>
      <c r="F36" s="31" t="s">
        <v>293</v>
      </c>
      <c r="G36" s="32" t="n">
        <v>6</v>
      </c>
      <c r="H36" s="32" t="n">
        <v>7</v>
      </c>
      <c r="I36" s="32" t="s">
        <v>45</v>
      </c>
      <c r="J36" s="33"/>
    </row>
    <row r="37" customFormat="false" ht="23.85" hidden="false" customHeight="false" outlineLevel="0" collapsed="false">
      <c r="A37" s="29" t="s">
        <v>294</v>
      </c>
      <c r="B37" s="29" t="s">
        <v>295</v>
      </c>
      <c r="C37" s="30" t="s">
        <v>246</v>
      </c>
      <c r="D37" s="31" t="s">
        <v>296</v>
      </c>
      <c r="E37" s="31" t="s">
        <v>297</v>
      </c>
      <c r="F37" s="31" t="s">
        <v>262</v>
      </c>
      <c r="G37" s="32" t="n">
        <v>7</v>
      </c>
      <c r="H37" s="32" t="n">
        <v>8</v>
      </c>
      <c r="I37" s="32" t="s">
        <v>45</v>
      </c>
      <c r="J37" s="33"/>
    </row>
    <row r="38" customFormat="false" ht="23.85" hidden="false" customHeight="false" outlineLevel="0" collapsed="false">
      <c r="A38" s="29" t="s">
        <v>298</v>
      </c>
      <c r="B38" s="29" t="s">
        <v>286</v>
      </c>
      <c r="C38" s="30" t="s">
        <v>246</v>
      </c>
      <c r="D38" s="31" t="s">
        <v>299</v>
      </c>
      <c r="E38" s="31" t="s">
        <v>300</v>
      </c>
      <c r="F38" s="31" t="s">
        <v>301</v>
      </c>
      <c r="G38" s="32" t="n">
        <v>7</v>
      </c>
      <c r="H38" s="32" t="n">
        <v>8</v>
      </c>
      <c r="I38" s="32" t="s">
        <v>45</v>
      </c>
      <c r="J38" s="33"/>
    </row>
    <row r="39" customFormat="false" ht="15" hidden="false" customHeight="false" outlineLevel="0" collapsed="false">
      <c r="A39" s="29" t="s">
        <v>302</v>
      </c>
      <c r="B39" s="29" t="s">
        <v>286</v>
      </c>
      <c r="C39" s="30" t="s">
        <v>246</v>
      </c>
      <c r="D39" s="31" t="s">
        <v>303</v>
      </c>
      <c r="E39" s="31" t="s">
        <v>304</v>
      </c>
      <c r="F39" s="31" t="s">
        <v>305</v>
      </c>
      <c r="G39" s="32" t="n">
        <v>6</v>
      </c>
      <c r="H39" s="32" t="n">
        <v>8</v>
      </c>
      <c r="I39" s="32" t="s">
        <v>45</v>
      </c>
      <c r="J39" s="33"/>
    </row>
    <row r="40" customFormat="false" ht="23.85" hidden="false" customHeight="false" outlineLevel="0" collapsed="false">
      <c r="A40" s="29" t="s">
        <v>306</v>
      </c>
      <c r="B40" s="29" t="s">
        <v>307</v>
      </c>
      <c r="C40" s="30" t="s">
        <v>308</v>
      </c>
      <c r="D40" s="31" t="s">
        <v>309</v>
      </c>
      <c r="E40" s="31" t="s">
        <v>310</v>
      </c>
      <c r="F40" s="31" t="s">
        <v>311</v>
      </c>
      <c r="G40" s="32" t="n">
        <v>7</v>
      </c>
      <c r="H40" s="32" t="n">
        <v>8</v>
      </c>
      <c r="I40" s="32" t="s">
        <v>45</v>
      </c>
      <c r="J40" s="33"/>
    </row>
    <row r="41" customFormat="false" ht="15" hidden="false" customHeight="false" outlineLevel="0" collapsed="false">
      <c r="A41" s="29" t="s">
        <v>312</v>
      </c>
      <c r="B41" s="29" t="s">
        <v>307</v>
      </c>
      <c r="C41" s="30" t="s">
        <v>308</v>
      </c>
      <c r="D41" s="31" t="s">
        <v>313</v>
      </c>
      <c r="E41" s="31" t="s">
        <v>314</v>
      </c>
      <c r="F41" s="31" t="s">
        <v>194</v>
      </c>
      <c r="G41" s="32" t="n">
        <v>2</v>
      </c>
      <c r="H41" s="32" t="n">
        <v>3</v>
      </c>
      <c r="I41" s="32" t="s">
        <v>45</v>
      </c>
      <c r="J41" s="33"/>
    </row>
    <row r="42" customFormat="false" ht="23.85" hidden="false" customHeight="false" outlineLevel="0" collapsed="false">
      <c r="A42" s="29" t="s">
        <v>315</v>
      </c>
      <c r="B42" s="29" t="s">
        <v>307</v>
      </c>
      <c r="C42" s="30" t="s">
        <v>308</v>
      </c>
      <c r="D42" s="31" t="s">
        <v>316</v>
      </c>
      <c r="E42" s="31" t="s">
        <v>317</v>
      </c>
      <c r="F42" s="31" t="s">
        <v>218</v>
      </c>
      <c r="G42" s="32" t="n">
        <v>2</v>
      </c>
      <c r="H42" s="32" t="n">
        <v>3</v>
      </c>
      <c r="I42" s="32" t="s">
        <v>45</v>
      </c>
      <c r="J42" s="33"/>
    </row>
    <row r="43" customFormat="false" ht="23.85" hidden="false" customHeight="false" outlineLevel="0" collapsed="false">
      <c r="A43" s="29" t="s">
        <v>318</v>
      </c>
      <c r="B43" s="29" t="s">
        <v>307</v>
      </c>
      <c r="C43" s="30" t="s">
        <v>308</v>
      </c>
      <c r="D43" s="31" t="s">
        <v>319</v>
      </c>
      <c r="E43" s="31" t="s">
        <v>320</v>
      </c>
      <c r="F43" s="31" t="s">
        <v>321</v>
      </c>
      <c r="G43" s="32" t="n">
        <v>7</v>
      </c>
      <c r="H43" s="32" t="n">
        <v>8</v>
      </c>
      <c r="I43" s="32" t="s">
        <v>45</v>
      </c>
      <c r="J43" s="33"/>
    </row>
    <row r="44" customFormat="false" ht="23.85" hidden="false" customHeight="false" outlineLevel="0" collapsed="false">
      <c r="A44" s="29" t="s">
        <v>322</v>
      </c>
      <c r="B44" s="29" t="s">
        <v>307</v>
      </c>
      <c r="C44" s="30" t="s">
        <v>308</v>
      </c>
      <c r="D44" s="31" t="s">
        <v>323</v>
      </c>
      <c r="E44" s="31" t="s">
        <v>324</v>
      </c>
      <c r="F44" s="31" t="s">
        <v>325</v>
      </c>
      <c r="G44" s="32" t="n">
        <v>7</v>
      </c>
      <c r="H44" s="32" t="n">
        <v>8</v>
      </c>
      <c r="I44" s="32" t="s">
        <v>45</v>
      </c>
      <c r="J44" s="33"/>
    </row>
    <row r="45" customFormat="false" ht="23.85" hidden="false" customHeight="false" outlineLevel="0" collapsed="false">
      <c r="A45" s="29" t="s">
        <v>326</v>
      </c>
      <c r="B45" s="29" t="s">
        <v>307</v>
      </c>
      <c r="C45" s="30" t="s">
        <v>308</v>
      </c>
      <c r="D45" s="31" t="s">
        <v>327</v>
      </c>
      <c r="E45" s="31" t="s">
        <v>328</v>
      </c>
      <c r="F45" s="31" t="s">
        <v>329</v>
      </c>
      <c r="G45" s="32" t="n">
        <v>7</v>
      </c>
      <c r="H45" s="32" t="n">
        <v>8</v>
      </c>
      <c r="I45" s="32" t="s">
        <v>45</v>
      </c>
      <c r="J45" s="33"/>
    </row>
    <row r="46" customFormat="false" ht="15" hidden="false" customHeight="false" outlineLevel="0" collapsed="false">
      <c r="A46" s="29" t="s">
        <v>330</v>
      </c>
      <c r="B46" s="29" t="s">
        <v>307</v>
      </c>
      <c r="C46" s="30" t="s">
        <v>308</v>
      </c>
      <c r="D46" s="31" t="s">
        <v>331</v>
      </c>
      <c r="E46" s="31" t="s">
        <v>332</v>
      </c>
      <c r="F46" s="31" t="s">
        <v>333</v>
      </c>
      <c r="G46" s="32" t="n">
        <v>11</v>
      </c>
      <c r="H46" s="32" t="n">
        <v>11</v>
      </c>
      <c r="I46" s="32" t="s">
        <v>45</v>
      </c>
      <c r="J46" s="33"/>
    </row>
    <row r="47" customFormat="false" ht="15" hidden="false" customHeight="false" outlineLevel="0" collapsed="false">
      <c r="A47" s="29" t="s">
        <v>334</v>
      </c>
      <c r="B47" s="29" t="s">
        <v>307</v>
      </c>
      <c r="C47" s="30" t="s">
        <v>308</v>
      </c>
      <c r="D47" s="31" t="s">
        <v>335</v>
      </c>
      <c r="E47" s="31" t="s">
        <v>336</v>
      </c>
      <c r="F47" s="31" t="s">
        <v>337</v>
      </c>
      <c r="G47" s="32" t="n">
        <v>7</v>
      </c>
      <c r="H47" s="32" t="n">
        <v>8</v>
      </c>
      <c r="I47" s="32" t="s">
        <v>45</v>
      </c>
      <c r="J47" s="33"/>
    </row>
    <row r="48" customFormat="false" ht="23.85" hidden="false" customHeight="false" outlineLevel="0" collapsed="false">
      <c r="A48" s="29" t="s">
        <v>338</v>
      </c>
      <c r="B48" s="29" t="s">
        <v>307</v>
      </c>
      <c r="C48" s="30" t="s">
        <v>308</v>
      </c>
      <c r="D48" s="31" t="s">
        <v>339</v>
      </c>
      <c r="E48" s="31" t="s">
        <v>340</v>
      </c>
      <c r="F48" s="31" t="s">
        <v>341</v>
      </c>
      <c r="G48" s="32" t="n">
        <v>7</v>
      </c>
      <c r="H48" s="32" t="n">
        <v>8</v>
      </c>
      <c r="I48" s="32" t="s">
        <v>45</v>
      </c>
      <c r="J48" s="33"/>
    </row>
    <row r="49" customFormat="false" ht="23.85" hidden="false" customHeight="false" outlineLevel="0" collapsed="false">
      <c r="A49" s="29" t="s">
        <v>342</v>
      </c>
      <c r="B49" s="29" t="s">
        <v>343</v>
      </c>
      <c r="C49" s="30" t="s">
        <v>308</v>
      </c>
      <c r="D49" s="31" t="s">
        <v>344</v>
      </c>
      <c r="E49" s="31" t="s">
        <v>345</v>
      </c>
      <c r="F49" s="31" t="s">
        <v>346</v>
      </c>
      <c r="G49" s="32" t="n">
        <v>3</v>
      </c>
      <c r="H49" s="32" t="n">
        <v>4</v>
      </c>
      <c r="I49" s="32" t="s">
        <v>45</v>
      </c>
      <c r="J49" s="33"/>
    </row>
    <row r="50" customFormat="false" ht="15" hidden="false" customHeight="false" outlineLevel="0" collapsed="false">
      <c r="A50" s="29" t="s">
        <v>347</v>
      </c>
      <c r="B50" s="29" t="s">
        <v>348</v>
      </c>
      <c r="C50" s="30" t="s">
        <v>308</v>
      </c>
      <c r="D50" s="31" t="s">
        <v>349</v>
      </c>
      <c r="E50" s="31" t="s">
        <v>350</v>
      </c>
      <c r="F50" s="31" t="s">
        <v>337</v>
      </c>
      <c r="G50" s="32" t="n">
        <v>8</v>
      </c>
      <c r="H50" s="32" t="n">
        <v>9</v>
      </c>
      <c r="I50" s="32" t="s">
        <v>45</v>
      </c>
      <c r="J50" s="33"/>
    </row>
    <row r="51" customFormat="false" ht="15" hidden="false" customHeight="false" outlineLevel="0" collapsed="false">
      <c r="A51" s="29" t="s">
        <v>351</v>
      </c>
      <c r="B51" s="29" t="s">
        <v>352</v>
      </c>
      <c r="C51" s="30" t="s">
        <v>353</v>
      </c>
      <c r="D51" s="31" t="s">
        <v>354</v>
      </c>
      <c r="E51" s="31" t="s">
        <v>355</v>
      </c>
      <c r="F51" s="31" t="s">
        <v>356</v>
      </c>
      <c r="G51" s="32" t="n">
        <v>3</v>
      </c>
      <c r="H51" s="32" t="n">
        <v>4</v>
      </c>
      <c r="I51" s="32" t="s">
        <v>45</v>
      </c>
      <c r="J51" s="33"/>
    </row>
    <row r="52" customFormat="false" ht="15" hidden="false" customHeight="false" outlineLevel="0" collapsed="false">
      <c r="A52" s="29" t="s">
        <v>357</v>
      </c>
      <c r="B52" s="29" t="s">
        <v>352</v>
      </c>
      <c r="C52" s="30" t="s">
        <v>353</v>
      </c>
      <c r="D52" s="31" t="s">
        <v>358</v>
      </c>
      <c r="E52" s="31" t="s">
        <v>355</v>
      </c>
      <c r="F52" s="31" t="s">
        <v>356</v>
      </c>
      <c r="G52" s="32" t="n">
        <v>3</v>
      </c>
      <c r="H52" s="32" t="n">
        <v>4</v>
      </c>
      <c r="I52" s="32" t="s">
        <v>45</v>
      </c>
      <c r="J52" s="33"/>
    </row>
    <row r="53" customFormat="false" ht="15" hidden="false" customHeight="false" outlineLevel="0" collapsed="false">
      <c r="A53" s="29" t="s">
        <v>359</v>
      </c>
      <c r="B53" s="29" t="s">
        <v>352</v>
      </c>
      <c r="C53" s="30" t="s">
        <v>353</v>
      </c>
      <c r="D53" s="31" t="s">
        <v>360</v>
      </c>
      <c r="E53" s="31" t="s">
        <v>355</v>
      </c>
      <c r="F53" s="31" t="s">
        <v>356</v>
      </c>
      <c r="G53" s="32" t="n">
        <v>4</v>
      </c>
      <c r="H53" s="32" t="n">
        <v>5</v>
      </c>
      <c r="I53" s="32" t="s">
        <v>45</v>
      </c>
      <c r="J53" s="33"/>
    </row>
    <row r="54" customFormat="false" ht="15" hidden="false" customHeight="false" outlineLevel="0" collapsed="false">
      <c r="A54" s="29" t="s">
        <v>361</v>
      </c>
      <c r="B54" s="29" t="s">
        <v>352</v>
      </c>
      <c r="C54" s="30" t="s">
        <v>353</v>
      </c>
      <c r="D54" s="31" t="s">
        <v>362</v>
      </c>
      <c r="E54" s="31" t="s">
        <v>355</v>
      </c>
      <c r="F54" s="31" t="s">
        <v>356</v>
      </c>
      <c r="G54" s="32" t="n">
        <v>4</v>
      </c>
      <c r="H54" s="32" t="n">
        <v>5</v>
      </c>
      <c r="I54" s="32" t="s">
        <v>45</v>
      </c>
      <c r="J54" s="33"/>
    </row>
    <row r="55" customFormat="false" ht="15" hidden="false" customHeight="false" outlineLevel="0" collapsed="false">
      <c r="A55" s="29" t="s">
        <v>363</v>
      </c>
      <c r="B55" s="29" t="s">
        <v>352</v>
      </c>
      <c r="C55" s="30" t="s">
        <v>353</v>
      </c>
      <c r="D55" s="31" t="s">
        <v>364</v>
      </c>
      <c r="E55" s="31" t="s">
        <v>355</v>
      </c>
      <c r="F55" s="31" t="s">
        <v>356</v>
      </c>
      <c r="G55" s="32" t="n">
        <v>3</v>
      </c>
      <c r="H55" s="32" t="n">
        <v>4</v>
      </c>
      <c r="I55" s="32" t="s">
        <v>45</v>
      </c>
      <c r="J55" s="33"/>
    </row>
    <row r="56" customFormat="false" ht="23.85" hidden="false" customHeight="false" outlineLevel="0" collapsed="false">
      <c r="A56" s="29" t="s">
        <v>365</v>
      </c>
      <c r="B56" s="29" t="s">
        <v>352</v>
      </c>
      <c r="C56" s="30" t="s">
        <v>353</v>
      </c>
      <c r="D56" s="31" t="s">
        <v>366</v>
      </c>
      <c r="E56" s="31" t="s">
        <v>355</v>
      </c>
      <c r="F56" s="31" t="s">
        <v>356</v>
      </c>
      <c r="G56" s="32" t="n">
        <v>3</v>
      </c>
      <c r="H56" s="32" t="n">
        <v>4</v>
      </c>
      <c r="I56" s="32" t="s">
        <v>45</v>
      </c>
      <c r="J56" s="33"/>
    </row>
    <row r="57" customFormat="false" ht="15" hidden="false" customHeight="false" outlineLevel="0" collapsed="false">
      <c r="A57" s="29" t="s">
        <v>367</v>
      </c>
      <c r="B57" s="29" t="s">
        <v>352</v>
      </c>
      <c r="C57" s="30" t="s">
        <v>353</v>
      </c>
      <c r="D57" s="31" t="s">
        <v>368</v>
      </c>
      <c r="E57" s="31" t="s">
        <v>355</v>
      </c>
      <c r="F57" s="31" t="s">
        <v>356</v>
      </c>
      <c r="G57" s="32" t="n">
        <v>3</v>
      </c>
      <c r="H57" s="32" t="n">
        <v>4</v>
      </c>
      <c r="I57" s="32" t="s">
        <v>45</v>
      </c>
      <c r="J57" s="33"/>
    </row>
    <row r="58" customFormat="false" ht="15" hidden="false" customHeight="false" outlineLevel="0" collapsed="false">
      <c r="A58" s="29" t="s">
        <v>369</v>
      </c>
      <c r="B58" s="29" t="s">
        <v>352</v>
      </c>
      <c r="C58" s="30" t="s">
        <v>353</v>
      </c>
      <c r="D58" s="31" t="s">
        <v>370</v>
      </c>
      <c r="E58" s="31" t="s">
        <v>355</v>
      </c>
      <c r="F58" s="31" t="s">
        <v>356</v>
      </c>
      <c r="G58" s="32" t="n">
        <v>8</v>
      </c>
      <c r="H58" s="32" t="n">
        <v>8</v>
      </c>
      <c r="I58" s="32" t="s">
        <v>45</v>
      </c>
      <c r="J58" s="33"/>
    </row>
    <row r="59" customFormat="false" ht="15" hidden="false" customHeight="false" outlineLevel="0" collapsed="false">
      <c r="A59" s="29" t="s">
        <v>371</v>
      </c>
      <c r="B59" s="29" t="s">
        <v>352</v>
      </c>
      <c r="C59" s="30" t="s">
        <v>353</v>
      </c>
      <c r="D59" s="31" t="s">
        <v>372</v>
      </c>
      <c r="E59" s="31" t="s">
        <v>355</v>
      </c>
      <c r="F59" s="31" t="s">
        <v>356</v>
      </c>
      <c r="G59" s="32" t="n">
        <v>8</v>
      </c>
      <c r="H59" s="32" t="n">
        <v>8</v>
      </c>
      <c r="I59" s="32" t="s">
        <v>45</v>
      </c>
      <c r="J59" s="33"/>
    </row>
    <row r="60" customFormat="false" ht="23.85" hidden="false" customHeight="false" outlineLevel="0" collapsed="false">
      <c r="A60" s="29" t="s">
        <v>373</v>
      </c>
      <c r="B60" s="29" t="s">
        <v>352</v>
      </c>
      <c r="C60" s="30" t="s">
        <v>353</v>
      </c>
      <c r="D60" s="31" t="s">
        <v>374</v>
      </c>
      <c r="E60" s="31" t="s">
        <v>355</v>
      </c>
      <c r="F60" s="31" t="s">
        <v>356</v>
      </c>
      <c r="G60" s="32" t="n">
        <v>8</v>
      </c>
      <c r="H60" s="32" t="n">
        <v>8</v>
      </c>
      <c r="I60" s="32" t="s">
        <v>45</v>
      </c>
      <c r="J60" s="33"/>
    </row>
    <row r="61" customFormat="false" ht="23.85" hidden="false" customHeight="false" outlineLevel="0" collapsed="false">
      <c r="A61" s="29" t="s">
        <v>375</v>
      </c>
      <c r="B61" s="29" t="s">
        <v>376</v>
      </c>
      <c r="C61" s="30" t="s">
        <v>377</v>
      </c>
      <c r="D61" s="31" t="s">
        <v>378</v>
      </c>
      <c r="E61" s="31" t="s">
        <v>379</v>
      </c>
      <c r="F61" s="31" t="s">
        <v>356</v>
      </c>
      <c r="G61" s="32" t="n">
        <v>9</v>
      </c>
      <c r="H61" s="32" t="n">
        <v>9</v>
      </c>
      <c r="I61" s="32" t="s">
        <v>45</v>
      </c>
      <c r="J61" s="33"/>
    </row>
    <row r="62" customFormat="false" ht="23.85" hidden="false" customHeight="false" outlineLevel="0" collapsed="false">
      <c r="A62" s="29" t="s">
        <v>380</v>
      </c>
      <c r="B62" s="29" t="s">
        <v>376</v>
      </c>
      <c r="C62" s="30" t="s">
        <v>377</v>
      </c>
      <c r="D62" s="31" t="s">
        <v>381</v>
      </c>
      <c r="E62" s="31" t="s">
        <v>382</v>
      </c>
      <c r="F62" s="31" t="s">
        <v>356</v>
      </c>
      <c r="G62" s="32" t="n">
        <v>9</v>
      </c>
      <c r="H62" s="32" t="n">
        <v>9</v>
      </c>
      <c r="I62" s="32" t="s">
        <v>45</v>
      </c>
      <c r="J62" s="33"/>
    </row>
    <row r="63" customFormat="false" ht="23.85" hidden="false" customHeight="false" outlineLevel="0" collapsed="false">
      <c r="A63" s="29" t="s">
        <v>383</v>
      </c>
      <c r="B63" s="29" t="s">
        <v>376</v>
      </c>
      <c r="C63" s="30" t="s">
        <v>377</v>
      </c>
      <c r="D63" s="31" t="s">
        <v>384</v>
      </c>
      <c r="E63" s="31" t="s">
        <v>385</v>
      </c>
      <c r="F63" s="31" t="s">
        <v>356</v>
      </c>
      <c r="G63" s="32" t="n">
        <v>9</v>
      </c>
      <c r="H63" s="32" t="n">
        <v>9</v>
      </c>
      <c r="I63" s="32" t="s">
        <v>45</v>
      </c>
      <c r="J63" s="33"/>
    </row>
    <row r="64" customFormat="false" ht="23.85" hidden="false" customHeight="false" outlineLevel="0" collapsed="false">
      <c r="A64" s="29" t="s">
        <v>386</v>
      </c>
      <c r="B64" s="29" t="s">
        <v>376</v>
      </c>
      <c r="C64" s="30" t="s">
        <v>377</v>
      </c>
      <c r="D64" s="31" t="s">
        <v>387</v>
      </c>
      <c r="E64" s="31" t="s">
        <v>388</v>
      </c>
      <c r="F64" s="31" t="s">
        <v>356</v>
      </c>
      <c r="G64" s="32" t="n">
        <v>9</v>
      </c>
      <c r="H64" s="32" t="n">
        <v>9</v>
      </c>
      <c r="I64" s="32" t="s">
        <v>45</v>
      </c>
      <c r="J64" s="33"/>
    </row>
    <row r="65" customFormat="false" ht="23.85" hidden="false" customHeight="false" outlineLevel="0" collapsed="false">
      <c r="A65" s="29" t="s">
        <v>389</v>
      </c>
      <c r="B65" s="29" t="s">
        <v>376</v>
      </c>
      <c r="C65" s="30" t="s">
        <v>377</v>
      </c>
      <c r="D65" s="31" t="s">
        <v>390</v>
      </c>
      <c r="E65" s="31" t="s">
        <v>391</v>
      </c>
      <c r="F65" s="31" t="s">
        <v>356</v>
      </c>
      <c r="G65" s="32" t="n">
        <v>9</v>
      </c>
      <c r="H65" s="32" t="n">
        <v>9</v>
      </c>
      <c r="I65" s="32" t="s">
        <v>45</v>
      </c>
      <c r="J65" s="33"/>
    </row>
    <row r="66" customFormat="false" ht="23.85" hidden="false" customHeight="false" outlineLevel="0" collapsed="false">
      <c r="A66" s="29" t="s">
        <v>392</v>
      </c>
      <c r="B66" s="29" t="s">
        <v>393</v>
      </c>
      <c r="C66" s="30" t="s">
        <v>394</v>
      </c>
      <c r="D66" s="31" t="s">
        <v>395</v>
      </c>
      <c r="E66" s="31" t="s">
        <v>396</v>
      </c>
      <c r="F66" s="31" t="s">
        <v>397</v>
      </c>
      <c r="G66" s="32" t="n">
        <v>10</v>
      </c>
      <c r="H66" s="32" t="n">
        <v>11</v>
      </c>
      <c r="I66" s="32" t="s">
        <v>45</v>
      </c>
      <c r="J66" s="33"/>
    </row>
    <row r="67" customFormat="false" ht="23.85" hidden="false" customHeight="false" outlineLevel="0" collapsed="false">
      <c r="A67" s="29" t="s">
        <v>398</v>
      </c>
      <c r="B67" s="29" t="s">
        <v>393</v>
      </c>
      <c r="C67" s="30" t="s">
        <v>394</v>
      </c>
      <c r="D67" s="31" t="s">
        <v>399</v>
      </c>
      <c r="E67" s="31" t="s">
        <v>400</v>
      </c>
      <c r="F67" s="31" t="s">
        <v>397</v>
      </c>
      <c r="G67" s="32" t="n">
        <v>10</v>
      </c>
      <c r="H67" s="32" t="n">
        <v>11</v>
      </c>
      <c r="I67" s="32" t="s">
        <v>45</v>
      </c>
      <c r="J67" s="33"/>
    </row>
    <row r="68" customFormat="false" ht="23.85" hidden="false" customHeight="false" outlineLevel="0" collapsed="false">
      <c r="A68" s="29" t="s">
        <v>401</v>
      </c>
      <c r="B68" s="29" t="s">
        <v>393</v>
      </c>
      <c r="C68" s="30" t="s">
        <v>394</v>
      </c>
      <c r="D68" s="31" t="s">
        <v>402</v>
      </c>
      <c r="E68" s="31" t="s">
        <v>403</v>
      </c>
      <c r="F68" s="31" t="s">
        <v>404</v>
      </c>
      <c r="G68" s="32" t="n">
        <v>10</v>
      </c>
      <c r="H68" s="32" t="n">
        <v>11</v>
      </c>
      <c r="I68" s="32" t="s">
        <v>45</v>
      </c>
      <c r="J68" s="33"/>
    </row>
    <row r="69" customFormat="false" ht="23.85" hidden="false" customHeight="false" outlineLevel="0" collapsed="false">
      <c r="A69" s="29" t="s">
        <v>405</v>
      </c>
      <c r="B69" s="29" t="s">
        <v>406</v>
      </c>
      <c r="C69" s="30" t="s">
        <v>78</v>
      </c>
      <c r="D69" s="31" t="s">
        <v>407</v>
      </c>
      <c r="E69" s="31" t="s">
        <v>408</v>
      </c>
      <c r="F69" s="31" t="s">
        <v>188</v>
      </c>
      <c r="G69" s="32" t="n">
        <v>9</v>
      </c>
      <c r="H69" s="32" t="n">
        <v>10</v>
      </c>
      <c r="I69" s="32" t="s">
        <v>45</v>
      </c>
      <c r="J69" s="33"/>
    </row>
    <row r="70" customFormat="false" ht="15" hidden="false" customHeight="false" outlineLevel="0" collapsed="false">
      <c r="A70" s="29" t="s">
        <v>409</v>
      </c>
      <c r="B70" s="29" t="s">
        <v>406</v>
      </c>
      <c r="C70" s="30" t="s">
        <v>78</v>
      </c>
      <c r="D70" s="31" t="s">
        <v>410</v>
      </c>
      <c r="E70" s="31" t="s">
        <v>411</v>
      </c>
      <c r="F70" s="31" t="s">
        <v>412</v>
      </c>
      <c r="G70" s="32" t="n">
        <v>10</v>
      </c>
      <c r="H70" s="32" t="n">
        <v>10</v>
      </c>
      <c r="I70" s="32" t="s">
        <v>45</v>
      </c>
      <c r="J70" s="33"/>
    </row>
    <row r="71" customFormat="false" ht="15" hidden="false" customHeight="false" outlineLevel="0" collapsed="false">
      <c r="A71" s="29" t="s">
        <v>413</v>
      </c>
      <c r="B71" s="29" t="s">
        <v>406</v>
      </c>
      <c r="C71" s="30" t="s">
        <v>78</v>
      </c>
      <c r="D71" s="31" t="s">
        <v>414</v>
      </c>
      <c r="E71" s="31" t="s">
        <v>411</v>
      </c>
      <c r="F71" s="31" t="s">
        <v>412</v>
      </c>
      <c r="G71" s="32" t="n">
        <v>10</v>
      </c>
      <c r="H71" s="32" t="n">
        <v>10</v>
      </c>
      <c r="I71" s="32" t="s">
        <v>45</v>
      </c>
      <c r="J71" s="33"/>
    </row>
    <row r="72" customFormat="false" ht="15" hidden="false" customHeight="false" outlineLevel="0" collapsed="false">
      <c r="A72" s="29" t="s">
        <v>415</v>
      </c>
      <c r="B72" s="29" t="s">
        <v>406</v>
      </c>
      <c r="C72" s="30" t="s">
        <v>78</v>
      </c>
      <c r="D72" s="31" t="s">
        <v>416</v>
      </c>
      <c r="E72" s="31" t="s">
        <v>411</v>
      </c>
      <c r="F72" s="31" t="s">
        <v>412</v>
      </c>
      <c r="G72" s="32" t="n">
        <v>10</v>
      </c>
      <c r="H72" s="32" t="n">
        <v>10</v>
      </c>
      <c r="I72" s="32" t="s">
        <v>45</v>
      </c>
      <c r="J72" s="33"/>
    </row>
    <row r="73" customFormat="false" ht="15" hidden="false" customHeight="false" outlineLevel="0" collapsed="false">
      <c r="A73" s="29" t="s">
        <v>417</v>
      </c>
      <c r="B73" s="29" t="s">
        <v>406</v>
      </c>
      <c r="C73" s="30" t="s">
        <v>78</v>
      </c>
      <c r="D73" s="31" t="s">
        <v>418</v>
      </c>
      <c r="E73" s="31" t="s">
        <v>411</v>
      </c>
      <c r="F73" s="31" t="s">
        <v>412</v>
      </c>
      <c r="G73" s="32" t="n">
        <v>10</v>
      </c>
      <c r="H73" s="32" t="n">
        <v>10</v>
      </c>
      <c r="I73" s="32" t="s">
        <v>45</v>
      </c>
      <c r="J73" s="33"/>
    </row>
    <row r="74" customFormat="false" ht="23.85" hidden="false" customHeight="false" outlineLevel="0" collapsed="false">
      <c r="A74" s="29" t="s">
        <v>419</v>
      </c>
      <c r="B74" s="29" t="s">
        <v>406</v>
      </c>
      <c r="C74" s="30" t="s">
        <v>78</v>
      </c>
      <c r="D74" s="31" t="s">
        <v>420</v>
      </c>
      <c r="E74" s="31" t="s">
        <v>421</v>
      </c>
      <c r="F74" s="31" t="s">
        <v>356</v>
      </c>
      <c r="G74" s="32" t="n">
        <v>10</v>
      </c>
      <c r="H74" s="32" t="n">
        <v>11</v>
      </c>
      <c r="I74" s="32" t="s">
        <v>45</v>
      </c>
      <c r="J74" s="33"/>
    </row>
    <row r="75" customFormat="false" ht="23.85" hidden="false" customHeight="false" outlineLevel="0" collapsed="false">
      <c r="A75" s="29" t="s">
        <v>422</v>
      </c>
      <c r="B75" s="29" t="s">
        <v>423</v>
      </c>
      <c r="C75" s="30" t="s">
        <v>78</v>
      </c>
      <c r="D75" s="31" t="s">
        <v>424</v>
      </c>
      <c r="E75" s="31" t="s">
        <v>425</v>
      </c>
      <c r="F75" s="31" t="s">
        <v>356</v>
      </c>
      <c r="G75" s="32" t="n">
        <v>10</v>
      </c>
      <c r="H75" s="32" t="n">
        <v>11</v>
      </c>
      <c r="I75" s="32" t="s">
        <v>45</v>
      </c>
      <c r="J75" s="33"/>
    </row>
    <row r="76" customFormat="false" ht="23.85" hidden="false" customHeight="false" outlineLevel="0" collapsed="false">
      <c r="A76" s="29" t="s">
        <v>426</v>
      </c>
      <c r="B76" s="29" t="s">
        <v>180</v>
      </c>
      <c r="C76" s="30" t="s">
        <v>83</v>
      </c>
      <c r="D76" s="31" t="s">
        <v>427</v>
      </c>
      <c r="E76" s="31" t="s">
        <v>428</v>
      </c>
      <c r="F76" s="31" t="s">
        <v>429</v>
      </c>
      <c r="G76" s="32" t="n">
        <v>12</v>
      </c>
      <c r="H76" s="32" t="n">
        <v>12</v>
      </c>
      <c r="I76" s="32" t="s">
        <v>45</v>
      </c>
      <c r="J76" s="33"/>
    </row>
  </sheetData>
  <autoFilter ref="A4:J76"/>
  <conditionalFormatting sqref="I5:I76">
    <cfRule type="expression" priority="2" aboveAverage="0" equalAverage="0" bottom="0" percent="0" rank="0" text="" dxfId="15">
      <formula>$I5="Готово"</formula>
    </cfRule>
    <cfRule type="expression" priority="3" aboveAverage="0" equalAverage="0" bottom="0" percent="0" rank="0" text="" dxfId="16">
      <formula>$I5="В работе"</formula>
    </cfRule>
    <cfRule type="expression" priority="4" aboveAverage="0" equalAverage="0" bottom="0" percent="0" rank="0" text="" dxfId="17">
      <formula>$I5="Блокировано"</formula>
    </cfRule>
  </conditionalFormatting>
  <dataValidations count="2">
    <dataValidation allowBlank="false" errorStyle="stop" operator="between" showDropDown="false" showErrorMessage="false" showInputMessage="false" sqref="G5:H76" type="whole">
      <formula1>1</formula1>
      <formula2>12</formula2>
    </dataValidation>
    <dataValidation allowBlank="false" errorStyle="stop" operator="between" showDropDown="false" showErrorMessage="false" showInputMessage="false" sqref="I5:I76" type="list">
      <formula1>"Не начато,В работе,Готово,Блокировано"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80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8" min="7" style="0" width="8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28" t="s">
        <v>430</v>
      </c>
    </row>
    <row r="2" customFormat="false" ht="15" hidden="false" customHeight="false" outlineLevel="0" collapsed="false">
      <c r="A2" s="18" t="s">
        <v>158</v>
      </c>
    </row>
    <row r="4" customFormat="false" ht="30" hidden="false" customHeight="true" outlineLevel="0" collapsed="false">
      <c r="A4" s="4" t="s">
        <v>159</v>
      </c>
      <c r="B4" s="4" t="s">
        <v>160</v>
      </c>
      <c r="C4" s="4" t="s">
        <v>35</v>
      </c>
      <c r="D4" s="4" t="s">
        <v>161</v>
      </c>
      <c r="E4" s="4" t="s">
        <v>162</v>
      </c>
      <c r="F4" s="4" t="s">
        <v>163</v>
      </c>
      <c r="G4" s="4" t="s">
        <v>164</v>
      </c>
      <c r="H4" s="4" t="s">
        <v>165</v>
      </c>
      <c r="I4" s="4" t="s">
        <v>40</v>
      </c>
      <c r="J4" s="4" t="s">
        <v>166</v>
      </c>
    </row>
    <row r="5" customFormat="false" ht="23.85" hidden="false" customHeight="false" outlineLevel="0" collapsed="false">
      <c r="A5" s="29" t="s">
        <v>431</v>
      </c>
      <c r="B5" s="29" t="s">
        <v>432</v>
      </c>
      <c r="C5" s="34" t="s">
        <v>89</v>
      </c>
      <c r="D5" s="31" t="s">
        <v>433</v>
      </c>
      <c r="E5" s="31" t="s">
        <v>434</v>
      </c>
      <c r="F5" s="31" t="s">
        <v>435</v>
      </c>
      <c r="G5" s="32" t="n">
        <v>2</v>
      </c>
      <c r="H5" s="32" t="n">
        <v>3</v>
      </c>
      <c r="I5" s="32" t="s">
        <v>45</v>
      </c>
      <c r="J5" s="33"/>
    </row>
    <row r="6" customFormat="false" ht="23.85" hidden="false" customHeight="false" outlineLevel="0" collapsed="false">
      <c r="A6" s="29" t="s">
        <v>436</v>
      </c>
      <c r="B6" s="29" t="s">
        <v>437</v>
      </c>
      <c r="C6" s="34" t="s">
        <v>89</v>
      </c>
      <c r="D6" s="31" t="s">
        <v>438</v>
      </c>
      <c r="E6" s="31" t="s">
        <v>439</v>
      </c>
      <c r="F6" s="31" t="s">
        <v>440</v>
      </c>
      <c r="G6" s="32" t="n">
        <v>2</v>
      </c>
      <c r="H6" s="32" t="n">
        <v>3</v>
      </c>
      <c r="I6" s="32" t="s">
        <v>45</v>
      </c>
      <c r="J6" s="33"/>
    </row>
    <row r="7" customFormat="false" ht="15" hidden="false" customHeight="false" outlineLevel="0" collapsed="false">
      <c r="A7" s="29" t="s">
        <v>441</v>
      </c>
      <c r="B7" s="29" t="s">
        <v>442</v>
      </c>
      <c r="C7" s="34" t="s">
        <v>89</v>
      </c>
      <c r="D7" s="31" t="s">
        <v>443</v>
      </c>
      <c r="E7" s="31" t="s">
        <v>444</v>
      </c>
      <c r="F7" s="31" t="s">
        <v>445</v>
      </c>
      <c r="G7" s="32" t="n">
        <v>2</v>
      </c>
      <c r="H7" s="32" t="n">
        <v>3</v>
      </c>
      <c r="I7" s="32" t="s">
        <v>45</v>
      </c>
      <c r="J7" s="33"/>
    </row>
    <row r="8" customFormat="false" ht="23.85" hidden="false" customHeight="false" outlineLevel="0" collapsed="false">
      <c r="A8" s="29" t="s">
        <v>446</v>
      </c>
      <c r="B8" s="29" t="s">
        <v>442</v>
      </c>
      <c r="C8" s="34" t="s">
        <v>89</v>
      </c>
      <c r="D8" s="31" t="s">
        <v>447</v>
      </c>
      <c r="E8" s="31" t="s">
        <v>448</v>
      </c>
      <c r="F8" s="31" t="s">
        <v>445</v>
      </c>
      <c r="G8" s="32" t="n">
        <v>2</v>
      </c>
      <c r="H8" s="32" t="n">
        <v>3</v>
      </c>
      <c r="I8" s="32" t="s">
        <v>45</v>
      </c>
      <c r="J8" s="33"/>
    </row>
    <row r="9" customFormat="false" ht="23.85" hidden="false" customHeight="false" outlineLevel="0" collapsed="false">
      <c r="A9" s="29" t="s">
        <v>449</v>
      </c>
      <c r="B9" s="29" t="s">
        <v>450</v>
      </c>
      <c r="C9" s="34" t="s">
        <v>89</v>
      </c>
      <c r="D9" s="31" t="s">
        <v>451</v>
      </c>
      <c r="E9" s="31" t="s">
        <v>452</v>
      </c>
      <c r="F9" s="31" t="s">
        <v>453</v>
      </c>
      <c r="G9" s="32" t="n">
        <v>3</v>
      </c>
      <c r="H9" s="32" t="n">
        <v>4</v>
      </c>
      <c r="I9" s="32" t="s">
        <v>45</v>
      </c>
      <c r="J9" s="33"/>
    </row>
    <row r="10" customFormat="false" ht="23.85" hidden="false" customHeight="false" outlineLevel="0" collapsed="false">
      <c r="A10" s="29" t="s">
        <v>454</v>
      </c>
      <c r="B10" s="29" t="s">
        <v>437</v>
      </c>
      <c r="C10" s="34" t="s">
        <v>89</v>
      </c>
      <c r="D10" s="31" t="s">
        <v>455</v>
      </c>
      <c r="E10" s="31" t="s">
        <v>456</v>
      </c>
      <c r="F10" s="31" t="s">
        <v>457</v>
      </c>
      <c r="G10" s="32" t="n">
        <v>7</v>
      </c>
      <c r="H10" s="32" t="n">
        <v>8</v>
      </c>
      <c r="I10" s="32" t="s">
        <v>45</v>
      </c>
      <c r="J10" s="33"/>
    </row>
    <row r="11" customFormat="false" ht="23.85" hidden="false" customHeight="false" outlineLevel="0" collapsed="false">
      <c r="A11" s="29" t="s">
        <v>458</v>
      </c>
      <c r="B11" s="29" t="s">
        <v>437</v>
      </c>
      <c r="C11" s="34" t="s">
        <v>89</v>
      </c>
      <c r="D11" s="31" t="s">
        <v>459</v>
      </c>
      <c r="E11" s="31" t="s">
        <v>460</v>
      </c>
      <c r="F11" s="31" t="s">
        <v>461</v>
      </c>
      <c r="G11" s="32" t="n">
        <v>7</v>
      </c>
      <c r="H11" s="32" t="n">
        <v>8</v>
      </c>
      <c r="I11" s="32" t="s">
        <v>45</v>
      </c>
      <c r="J11" s="33"/>
    </row>
    <row r="12" customFormat="false" ht="15" hidden="false" customHeight="false" outlineLevel="0" collapsed="false">
      <c r="A12" s="29" t="s">
        <v>462</v>
      </c>
      <c r="B12" s="29" t="s">
        <v>437</v>
      </c>
      <c r="C12" s="34" t="s">
        <v>89</v>
      </c>
      <c r="D12" s="31" t="s">
        <v>463</v>
      </c>
      <c r="E12" s="31" t="s">
        <v>464</v>
      </c>
      <c r="F12" s="31" t="s">
        <v>445</v>
      </c>
      <c r="G12" s="32" t="n">
        <v>7</v>
      </c>
      <c r="H12" s="32" t="n">
        <v>8</v>
      </c>
      <c r="I12" s="32" t="s">
        <v>45</v>
      </c>
      <c r="J12" s="33"/>
    </row>
    <row r="13" customFormat="false" ht="23.85" hidden="false" customHeight="false" outlineLevel="0" collapsed="false">
      <c r="A13" s="29" t="s">
        <v>465</v>
      </c>
      <c r="B13" s="29" t="s">
        <v>466</v>
      </c>
      <c r="C13" s="34" t="s">
        <v>89</v>
      </c>
      <c r="D13" s="31" t="s">
        <v>467</v>
      </c>
      <c r="E13" s="31" t="s">
        <v>468</v>
      </c>
      <c r="F13" s="31" t="s">
        <v>445</v>
      </c>
      <c r="G13" s="32" t="n">
        <v>3</v>
      </c>
      <c r="H13" s="32" t="n">
        <v>4</v>
      </c>
      <c r="I13" s="32" t="s">
        <v>45</v>
      </c>
      <c r="J13" s="33"/>
    </row>
    <row r="14" customFormat="false" ht="35.05" hidden="false" customHeight="false" outlineLevel="0" collapsed="false">
      <c r="A14" s="29" t="s">
        <v>469</v>
      </c>
      <c r="B14" s="29" t="s">
        <v>470</v>
      </c>
      <c r="C14" s="34" t="s">
        <v>89</v>
      </c>
      <c r="D14" s="31" t="s">
        <v>471</v>
      </c>
      <c r="E14" s="31" t="s">
        <v>472</v>
      </c>
      <c r="F14" s="31" t="s">
        <v>457</v>
      </c>
      <c r="G14" s="32" t="n">
        <v>7</v>
      </c>
      <c r="H14" s="32" t="n">
        <v>8</v>
      </c>
      <c r="I14" s="32" t="s">
        <v>45</v>
      </c>
      <c r="J14" s="33"/>
    </row>
    <row r="15" customFormat="false" ht="23.85" hidden="false" customHeight="false" outlineLevel="0" collapsed="false">
      <c r="A15" s="29" t="s">
        <v>473</v>
      </c>
      <c r="B15" s="29" t="s">
        <v>437</v>
      </c>
      <c r="C15" s="34" t="s">
        <v>89</v>
      </c>
      <c r="D15" s="31" t="s">
        <v>474</v>
      </c>
      <c r="E15" s="31" t="s">
        <v>475</v>
      </c>
      <c r="F15" s="31" t="s">
        <v>445</v>
      </c>
      <c r="G15" s="32" t="n">
        <v>8</v>
      </c>
      <c r="H15" s="32" t="n">
        <v>9</v>
      </c>
      <c r="I15" s="32" t="s">
        <v>45</v>
      </c>
      <c r="J15" s="33"/>
    </row>
    <row r="16" customFormat="false" ht="23.85" hidden="false" customHeight="false" outlineLevel="0" collapsed="false">
      <c r="A16" s="29" t="s">
        <v>476</v>
      </c>
      <c r="B16" s="29" t="s">
        <v>477</v>
      </c>
      <c r="C16" s="34" t="s">
        <v>89</v>
      </c>
      <c r="D16" s="31" t="s">
        <v>478</v>
      </c>
      <c r="E16" s="31" t="s">
        <v>479</v>
      </c>
      <c r="F16" s="31" t="s">
        <v>445</v>
      </c>
      <c r="G16" s="32" t="n">
        <v>4</v>
      </c>
      <c r="H16" s="32" t="n">
        <v>4</v>
      </c>
      <c r="I16" s="32" t="s">
        <v>45</v>
      </c>
      <c r="J16" s="33"/>
    </row>
    <row r="17" customFormat="false" ht="23.85" hidden="false" customHeight="false" outlineLevel="0" collapsed="false">
      <c r="A17" s="29" t="s">
        <v>480</v>
      </c>
      <c r="B17" s="29" t="s">
        <v>481</v>
      </c>
      <c r="C17" s="34" t="s">
        <v>89</v>
      </c>
      <c r="D17" s="31" t="s">
        <v>482</v>
      </c>
      <c r="E17" s="31" t="s">
        <v>483</v>
      </c>
      <c r="F17" s="31" t="s">
        <v>445</v>
      </c>
      <c r="G17" s="32" t="n">
        <v>4</v>
      </c>
      <c r="H17" s="32" t="n">
        <v>4</v>
      </c>
      <c r="I17" s="32" t="s">
        <v>45</v>
      </c>
      <c r="J17" s="33"/>
    </row>
    <row r="18" customFormat="false" ht="15" hidden="false" customHeight="false" outlineLevel="0" collapsed="false">
      <c r="A18" s="29" t="s">
        <v>484</v>
      </c>
      <c r="B18" s="29" t="s">
        <v>286</v>
      </c>
      <c r="C18" s="34" t="s">
        <v>89</v>
      </c>
      <c r="D18" s="31" t="s">
        <v>485</v>
      </c>
      <c r="E18" s="31" t="s">
        <v>486</v>
      </c>
      <c r="F18" s="31" t="s">
        <v>487</v>
      </c>
      <c r="G18" s="32" t="n">
        <v>4</v>
      </c>
      <c r="H18" s="32" t="n">
        <v>5</v>
      </c>
      <c r="I18" s="32" t="s">
        <v>45</v>
      </c>
      <c r="J18" s="33"/>
    </row>
    <row r="19" customFormat="false" ht="35.05" hidden="false" customHeight="false" outlineLevel="0" collapsed="false">
      <c r="A19" s="29" t="s">
        <v>488</v>
      </c>
      <c r="B19" s="29" t="s">
        <v>489</v>
      </c>
      <c r="C19" s="34" t="s">
        <v>490</v>
      </c>
      <c r="D19" s="31" t="s">
        <v>491</v>
      </c>
      <c r="E19" s="31" t="s">
        <v>492</v>
      </c>
      <c r="F19" s="31" t="s">
        <v>493</v>
      </c>
      <c r="G19" s="32" t="n">
        <v>1</v>
      </c>
      <c r="H19" s="32" t="n">
        <v>2</v>
      </c>
      <c r="I19" s="32" t="s">
        <v>45</v>
      </c>
      <c r="J19" s="33"/>
    </row>
    <row r="20" customFormat="false" ht="35.05" hidden="false" customHeight="false" outlineLevel="0" collapsed="false">
      <c r="A20" s="29" t="s">
        <v>494</v>
      </c>
      <c r="B20" s="29" t="s">
        <v>495</v>
      </c>
      <c r="C20" s="34" t="s">
        <v>490</v>
      </c>
      <c r="D20" s="31" t="s">
        <v>496</v>
      </c>
      <c r="E20" s="31" t="s">
        <v>497</v>
      </c>
      <c r="F20" s="31" t="s">
        <v>493</v>
      </c>
      <c r="G20" s="32" t="n">
        <v>1</v>
      </c>
      <c r="H20" s="32" t="n">
        <v>2</v>
      </c>
      <c r="I20" s="32" t="s">
        <v>45</v>
      </c>
      <c r="J20" s="33"/>
    </row>
    <row r="21" customFormat="false" ht="23.85" hidden="false" customHeight="false" outlineLevel="0" collapsed="false">
      <c r="A21" s="29" t="s">
        <v>498</v>
      </c>
      <c r="B21" s="29" t="s">
        <v>489</v>
      </c>
      <c r="C21" s="34" t="s">
        <v>490</v>
      </c>
      <c r="D21" s="31" t="s">
        <v>499</v>
      </c>
      <c r="E21" s="31" t="s">
        <v>500</v>
      </c>
      <c r="F21" s="31" t="s">
        <v>493</v>
      </c>
      <c r="G21" s="32" t="n">
        <v>1</v>
      </c>
      <c r="H21" s="32" t="n">
        <v>2</v>
      </c>
      <c r="I21" s="32" t="s">
        <v>45</v>
      </c>
      <c r="J21" s="33"/>
    </row>
    <row r="22" customFormat="false" ht="23.85" hidden="false" customHeight="false" outlineLevel="0" collapsed="false">
      <c r="A22" s="29" t="s">
        <v>501</v>
      </c>
      <c r="B22" s="29" t="s">
        <v>348</v>
      </c>
      <c r="C22" s="34" t="s">
        <v>490</v>
      </c>
      <c r="D22" s="31" t="s">
        <v>502</v>
      </c>
      <c r="E22" s="31" t="s">
        <v>503</v>
      </c>
      <c r="F22" s="31" t="s">
        <v>493</v>
      </c>
      <c r="G22" s="32" t="n">
        <v>8</v>
      </c>
      <c r="H22" s="32" t="n">
        <v>9</v>
      </c>
      <c r="I22" s="32" t="s">
        <v>45</v>
      </c>
      <c r="J22" s="33"/>
    </row>
    <row r="23" customFormat="false" ht="23.85" hidden="false" customHeight="false" outlineLevel="0" collapsed="false">
      <c r="A23" s="29" t="s">
        <v>504</v>
      </c>
      <c r="B23" s="29" t="s">
        <v>505</v>
      </c>
      <c r="C23" s="34" t="s">
        <v>490</v>
      </c>
      <c r="D23" s="31" t="s">
        <v>506</v>
      </c>
      <c r="E23" s="31" t="s">
        <v>507</v>
      </c>
      <c r="F23" s="31" t="s">
        <v>508</v>
      </c>
      <c r="G23" s="32" t="n">
        <v>2</v>
      </c>
      <c r="H23" s="32" t="n">
        <v>3</v>
      </c>
      <c r="I23" s="32" t="s">
        <v>45</v>
      </c>
      <c r="J23" s="33"/>
    </row>
    <row r="24" customFormat="false" ht="23.85" hidden="false" customHeight="false" outlineLevel="0" collapsed="false">
      <c r="A24" s="29" t="s">
        <v>509</v>
      </c>
      <c r="B24" s="29" t="s">
        <v>505</v>
      </c>
      <c r="C24" s="34" t="s">
        <v>490</v>
      </c>
      <c r="D24" s="31" t="s">
        <v>510</v>
      </c>
      <c r="E24" s="31" t="s">
        <v>511</v>
      </c>
      <c r="F24" s="31" t="s">
        <v>508</v>
      </c>
      <c r="G24" s="32" t="n">
        <v>3</v>
      </c>
      <c r="H24" s="32" t="n">
        <v>4</v>
      </c>
      <c r="I24" s="32" t="s">
        <v>45</v>
      </c>
      <c r="J24" s="33"/>
    </row>
    <row r="25" customFormat="false" ht="23.85" hidden="false" customHeight="false" outlineLevel="0" collapsed="false">
      <c r="A25" s="29" t="s">
        <v>512</v>
      </c>
      <c r="B25" s="29" t="s">
        <v>286</v>
      </c>
      <c r="C25" s="34" t="s">
        <v>490</v>
      </c>
      <c r="D25" s="31" t="s">
        <v>513</v>
      </c>
      <c r="E25" s="31" t="s">
        <v>514</v>
      </c>
      <c r="F25" s="31" t="s">
        <v>515</v>
      </c>
      <c r="G25" s="32" t="n">
        <v>1</v>
      </c>
      <c r="H25" s="32" t="n">
        <v>2</v>
      </c>
      <c r="I25" s="32" t="s">
        <v>45</v>
      </c>
      <c r="J25" s="33"/>
    </row>
    <row r="26" customFormat="false" ht="23.85" hidden="false" customHeight="false" outlineLevel="0" collapsed="false">
      <c r="A26" s="29" t="s">
        <v>516</v>
      </c>
      <c r="B26" s="29" t="s">
        <v>517</v>
      </c>
      <c r="C26" s="34" t="s">
        <v>490</v>
      </c>
      <c r="D26" s="31" t="s">
        <v>518</v>
      </c>
      <c r="E26" s="31" t="s">
        <v>519</v>
      </c>
      <c r="F26" s="31" t="s">
        <v>493</v>
      </c>
      <c r="G26" s="32" t="n">
        <v>3</v>
      </c>
      <c r="H26" s="32" t="n">
        <v>4</v>
      </c>
      <c r="I26" s="32" t="s">
        <v>45</v>
      </c>
      <c r="J26" s="33"/>
    </row>
    <row r="27" customFormat="false" ht="23.85" hidden="false" customHeight="false" outlineLevel="0" collapsed="false">
      <c r="A27" s="29" t="s">
        <v>520</v>
      </c>
      <c r="B27" s="29" t="s">
        <v>521</v>
      </c>
      <c r="C27" s="34" t="s">
        <v>490</v>
      </c>
      <c r="D27" s="31" t="s">
        <v>522</v>
      </c>
      <c r="E27" s="31" t="s">
        <v>523</v>
      </c>
      <c r="F27" s="31" t="s">
        <v>493</v>
      </c>
      <c r="G27" s="32" t="n">
        <v>3</v>
      </c>
      <c r="H27" s="32" t="n">
        <v>4</v>
      </c>
      <c r="I27" s="32" t="s">
        <v>45</v>
      </c>
      <c r="J27" s="33"/>
    </row>
    <row r="28" customFormat="false" ht="23.85" hidden="false" customHeight="false" outlineLevel="0" collapsed="false">
      <c r="A28" s="29" t="s">
        <v>524</v>
      </c>
      <c r="B28" s="29" t="s">
        <v>517</v>
      </c>
      <c r="C28" s="34" t="s">
        <v>490</v>
      </c>
      <c r="D28" s="31" t="s">
        <v>525</v>
      </c>
      <c r="E28" s="31" t="s">
        <v>526</v>
      </c>
      <c r="F28" s="31" t="s">
        <v>493</v>
      </c>
      <c r="G28" s="32" t="n">
        <v>4</v>
      </c>
      <c r="H28" s="32" t="n">
        <v>5</v>
      </c>
      <c r="I28" s="32" t="s">
        <v>45</v>
      </c>
      <c r="J28" s="33"/>
    </row>
    <row r="29" customFormat="false" ht="23.85" hidden="false" customHeight="false" outlineLevel="0" collapsed="false">
      <c r="A29" s="29" t="s">
        <v>527</v>
      </c>
      <c r="B29" s="29" t="s">
        <v>477</v>
      </c>
      <c r="C29" s="34" t="s">
        <v>490</v>
      </c>
      <c r="D29" s="31" t="s">
        <v>528</v>
      </c>
      <c r="E29" s="31" t="s">
        <v>529</v>
      </c>
      <c r="F29" s="31" t="s">
        <v>493</v>
      </c>
      <c r="G29" s="32" t="n">
        <v>8</v>
      </c>
      <c r="H29" s="32" t="n">
        <v>9</v>
      </c>
      <c r="I29" s="32" t="s">
        <v>45</v>
      </c>
      <c r="J29" s="33"/>
    </row>
    <row r="30" customFormat="false" ht="23.85" hidden="false" customHeight="false" outlineLevel="0" collapsed="false">
      <c r="A30" s="29" t="s">
        <v>530</v>
      </c>
      <c r="B30" s="29" t="s">
        <v>343</v>
      </c>
      <c r="C30" s="34" t="s">
        <v>490</v>
      </c>
      <c r="D30" s="31" t="s">
        <v>531</v>
      </c>
      <c r="E30" s="31" t="s">
        <v>532</v>
      </c>
      <c r="F30" s="31" t="s">
        <v>493</v>
      </c>
      <c r="G30" s="32" t="n">
        <v>4</v>
      </c>
      <c r="H30" s="32" t="n">
        <v>5</v>
      </c>
      <c r="I30" s="32" t="s">
        <v>45</v>
      </c>
      <c r="J30" s="33"/>
    </row>
    <row r="31" customFormat="false" ht="23.85" hidden="false" customHeight="false" outlineLevel="0" collapsed="false">
      <c r="A31" s="29" t="s">
        <v>533</v>
      </c>
      <c r="B31" s="29" t="s">
        <v>521</v>
      </c>
      <c r="C31" s="34" t="s">
        <v>490</v>
      </c>
      <c r="D31" s="31" t="s">
        <v>534</v>
      </c>
      <c r="E31" s="31" t="s">
        <v>486</v>
      </c>
      <c r="F31" s="31" t="s">
        <v>487</v>
      </c>
      <c r="G31" s="32" t="n">
        <v>9</v>
      </c>
      <c r="H31" s="32" t="n">
        <v>10</v>
      </c>
      <c r="I31" s="32" t="s">
        <v>45</v>
      </c>
      <c r="J31" s="33"/>
    </row>
    <row r="32" customFormat="false" ht="23.85" hidden="false" customHeight="false" outlineLevel="0" collapsed="false">
      <c r="A32" s="29" t="s">
        <v>535</v>
      </c>
      <c r="B32" s="29" t="s">
        <v>521</v>
      </c>
      <c r="C32" s="34" t="s">
        <v>490</v>
      </c>
      <c r="D32" s="31" t="s">
        <v>536</v>
      </c>
      <c r="E32" s="31" t="s">
        <v>486</v>
      </c>
      <c r="F32" s="31" t="s">
        <v>487</v>
      </c>
      <c r="G32" s="32" t="n">
        <v>9</v>
      </c>
      <c r="H32" s="32" t="n">
        <v>10</v>
      </c>
      <c r="I32" s="32" t="s">
        <v>45</v>
      </c>
      <c r="J32" s="33"/>
    </row>
    <row r="33" customFormat="false" ht="23.85" hidden="false" customHeight="false" outlineLevel="0" collapsed="false">
      <c r="A33" s="29" t="s">
        <v>537</v>
      </c>
      <c r="B33" s="29" t="s">
        <v>538</v>
      </c>
      <c r="C33" s="34" t="s">
        <v>94</v>
      </c>
      <c r="D33" s="31" t="s">
        <v>539</v>
      </c>
      <c r="E33" s="31" t="s">
        <v>540</v>
      </c>
      <c r="F33" s="31" t="s">
        <v>541</v>
      </c>
      <c r="G33" s="32" t="n">
        <v>1</v>
      </c>
      <c r="H33" s="32" t="n">
        <v>2</v>
      </c>
      <c r="I33" s="32" t="s">
        <v>45</v>
      </c>
      <c r="J33" s="33"/>
    </row>
    <row r="34" customFormat="false" ht="23.85" hidden="false" customHeight="false" outlineLevel="0" collapsed="false">
      <c r="A34" s="29" t="s">
        <v>542</v>
      </c>
      <c r="B34" s="29" t="s">
        <v>543</v>
      </c>
      <c r="C34" s="34" t="s">
        <v>544</v>
      </c>
      <c r="D34" s="31" t="s">
        <v>545</v>
      </c>
      <c r="E34" s="31" t="s">
        <v>546</v>
      </c>
      <c r="F34" s="31" t="s">
        <v>547</v>
      </c>
      <c r="G34" s="32" t="n">
        <v>4</v>
      </c>
      <c r="H34" s="32" t="n">
        <v>5</v>
      </c>
      <c r="I34" s="32" t="s">
        <v>45</v>
      </c>
      <c r="J34" s="33"/>
    </row>
    <row r="35" customFormat="false" ht="23.85" hidden="false" customHeight="false" outlineLevel="0" collapsed="false">
      <c r="A35" s="29" t="s">
        <v>548</v>
      </c>
      <c r="B35" s="29" t="s">
        <v>543</v>
      </c>
      <c r="C35" s="34" t="s">
        <v>544</v>
      </c>
      <c r="D35" s="31" t="s">
        <v>549</v>
      </c>
      <c r="E35" s="31" t="s">
        <v>550</v>
      </c>
      <c r="F35" s="31" t="s">
        <v>547</v>
      </c>
      <c r="G35" s="32" t="n">
        <v>4</v>
      </c>
      <c r="H35" s="32" t="n">
        <v>5</v>
      </c>
      <c r="I35" s="32" t="s">
        <v>45</v>
      </c>
      <c r="J35" s="33"/>
    </row>
    <row r="36" customFormat="false" ht="23.85" hidden="false" customHeight="false" outlineLevel="0" collapsed="false">
      <c r="A36" s="29" t="s">
        <v>551</v>
      </c>
      <c r="B36" s="29" t="s">
        <v>552</v>
      </c>
      <c r="C36" s="34" t="s">
        <v>553</v>
      </c>
      <c r="D36" s="31" t="s">
        <v>554</v>
      </c>
      <c r="E36" s="31" t="s">
        <v>555</v>
      </c>
      <c r="F36" s="31" t="s">
        <v>556</v>
      </c>
      <c r="G36" s="32" t="n">
        <v>4</v>
      </c>
      <c r="H36" s="32" t="n">
        <v>5</v>
      </c>
      <c r="I36" s="32" t="s">
        <v>45</v>
      </c>
      <c r="J36" s="33"/>
    </row>
    <row r="37" customFormat="false" ht="23.85" hidden="false" customHeight="false" outlineLevel="0" collapsed="false">
      <c r="A37" s="29" t="s">
        <v>557</v>
      </c>
      <c r="B37" s="29" t="s">
        <v>552</v>
      </c>
      <c r="C37" s="34" t="s">
        <v>553</v>
      </c>
      <c r="D37" s="31" t="s">
        <v>558</v>
      </c>
      <c r="E37" s="31" t="s">
        <v>559</v>
      </c>
      <c r="F37" s="31" t="s">
        <v>556</v>
      </c>
      <c r="G37" s="32" t="n">
        <v>5</v>
      </c>
      <c r="H37" s="32" t="n">
        <v>5</v>
      </c>
      <c r="I37" s="32" t="s">
        <v>45</v>
      </c>
      <c r="J37" s="33"/>
    </row>
    <row r="38" customFormat="false" ht="23.85" hidden="false" customHeight="false" outlineLevel="0" collapsed="false">
      <c r="A38" s="29" t="s">
        <v>560</v>
      </c>
      <c r="B38" s="29" t="s">
        <v>561</v>
      </c>
      <c r="C38" s="34" t="s">
        <v>562</v>
      </c>
      <c r="D38" s="31" t="s">
        <v>563</v>
      </c>
      <c r="E38" s="31" t="s">
        <v>564</v>
      </c>
      <c r="F38" s="31" t="s">
        <v>565</v>
      </c>
      <c r="G38" s="32" t="n">
        <v>7</v>
      </c>
      <c r="H38" s="32" t="n">
        <v>8</v>
      </c>
      <c r="I38" s="32" t="s">
        <v>45</v>
      </c>
      <c r="J38" s="33"/>
    </row>
    <row r="39" customFormat="false" ht="15" hidden="false" customHeight="false" outlineLevel="0" collapsed="false">
      <c r="A39" s="29" t="s">
        <v>566</v>
      </c>
      <c r="B39" s="29" t="s">
        <v>561</v>
      </c>
      <c r="C39" s="34" t="s">
        <v>562</v>
      </c>
      <c r="D39" s="31" t="s">
        <v>567</v>
      </c>
      <c r="E39" s="31" t="s">
        <v>568</v>
      </c>
      <c r="F39" s="31" t="s">
        <v>565</v>
      </c>
      <c r="G39" s="32" t="n">
        <v>7</v>
      </c>
      <c r="H39" s="32" t="n">
        <v>8</v>
      </c>
      <c r="I39" s="32" t="s">
        <v>45</v>
      </c>
      <c r="J39" s="33"/>
    </row>
    <row r="40" customFormat="false" ht="23.85" hidden="false" customHeight="false" outlineLevel="0" collapsed="false">
      <c r="A40" s="29" t="s">
        <v>569</v>
      </c>
      <c r="B40" s="29" t="s">
        <v>570</v>
      </c>
      <c r="C40" s="34" t="s">
        <v>571</v>
      </c>
      <c r="D40" s="31" t="s">
        <v>572</v>
      </c>
      <c r="E40" s="31" t="s">
        <v>573</v>
      </c>
      <c r="F40" s="31" t="s">
        <v>541</v>
      </c>
      <c r="G40" s="32" t="n">
        <v>7</v>
      </c>
      <c r="H40" s="32" t="n">
        <v>8</v>
      </c>
      <c r="I40" s="32" t="s">
        <v>45</v>
      </c>
      <c r="J40" s="33"/>
    </row>
    <row r="41" customFormat="false" ht="23.85" hidden="false" customHeight="false" outlineLevel="0" collapsed="false">
      <c r="A41" s="29" t="s">
        <v>574</v>
      </c>
      <c r="B41" s="29" t="s">
        <v>570</v>
      </c>
      <c r="C41" s="34" t="s">
        <v>571</v>
      </c>
      <c r="D41" s="31" t="s">
        <v>575</v>
      </c>
      <c r="E41" s="31" t="s">
        <v>576</v>
      </c>
      <c r="F41" s="31" t="s">
        <v>541</v>
      </c>
      <c r="G41" s="32" t="n">
        <v>8</v>
      </c>
      <c r="H41" s="32" t="n">
        <v>8</v>
      </c>
      <c r="I41" s="32" t="s">
        <v>45</v>
      </c>
      <c r="J41" s="33"/>
    </row>
    <row r="42" customFormat="false" ht="23.85" hidden="false" customHeight="false" outlineLevel="0" collapsed="false">
      <c r="A42" s="29" t="s">
        <v>577</v>
      </c>
      <c r="B42" s="29" t="s">
        <v>538</v>
      </c>
      <c r="C42" s="34" t="s">
        <v>94</v>
      </c>
      <c r="D42" s="31" t="s">
        <v>578</v>
      </c>
      <c r="E42" s="31" t="s">
        <v>579</v>
      </c>
      <c r="F42" s="31" t="s">
        <v>580</v>
      </c>
      <c r="G42" s="32" t="n">
        <v>5</v>
      </c>
      <c r="H42" s="32" t="n">
        <v>6</v>
      </c>
      <c r="I42" s="32" t="s">
        <v>45</v>
      </c>
      <c r="J42" s="33"/>
    </row>
    <row r="43" customFormat="false" ht="23.85" hidden="false" customHeight="false" outlineLevel="0" collapsed="false">
      <c r="A43" s="29" t="s">
        <v>581</v>
      </c>
      <c r="B43" s="29" t="s">
        <v>538</v>
      </c>
      <c r="C43" s="34" t="s">
        <v>94</v>
      </c>
      <c r="D43" s="31" t="s">
        <v>582</v>
      </c>
      <c r="E43" s="31" t="s">
        <v>583</v>
      </c>
      <c r="F43" s="31" t="s">
        <v>580</v>
      </c>
      <c r="G43" s="32" t="n">
        <v>5</v>
      </c>
      <c r="H43" s="32" t="n">
        <v>6</v>
      </c>
      <c r="I43" s="32" t="s">
        <v>45</v>
      </c>
      <c r="J43" s="33"/>
    </row>
    <row r="44" customFormat="false" ht="23.85" hidden="false" customHeight="false" outlineLevel="0" collapsed="false">
      <c r="A44" s="29" t="s">
        <v>584</v>
      </c>
      <c r="B44" s="29" t="s">
        <v>279</v>
      </c>
      <c r="C44" s="34" t="s">
        <v>94</v>
      </c>
      <c r="D44" s="31" t="s">
        <v>585</v>
      </c>
      <c r="E44" s="31" t="s">
        <v>586</v>
      </c>
      <c r="F44" s="31" t="s">
        <v>580</v>
      </c>
      <c r="G44" s="32" t="n">
        <v>5</v>
      </c>
      <c r="H44" s="32" t="n">
        <v>6</v>
      </c>
      <c r="I44" s="32" t="s">
        <v>45</v>
      </c>
      <c r="J44" s="33"/>
    </row>
    <row r="45" customFormat="false" ht="23.85" hidden="false" customHeight="false" outlineLevel="0" collapsed="false">
      <c r="A45" s="29" t="s">
        <v>587</v>
      </c>
      <c r="B45" s="29" t="s">
        <v>588</v>
      </c>
      <c r="C45" s="34" t="s">
        <v>94</v>
      </c>
      <c r="D45" s="31" t="s">
        <v>589</v>
      </c>
      <c r="E45" s="31" t="s">
        <v>590</v>
      </c>
      <c r="F45" s="31" t="s">
        <v>591</v>
      </c>
      <c r="G45" s="32" t="n">
        <v>5</v>
      </c>
      <c r="H45" s="32" t="n">
        <v>6</v>
      </c>
      <c r="I45" s="32" t="s">
        <v>45</v>
      </c>
      <c r="J45" s="33"/>
    </row>
    <row r="46" customFormat="false" ht="23.85" hidden="false" customHeight="false" outlineLevel="0" collapsed="false">
      <c r="A46" s="29" t="s">
        <v>592</v>
      </c>
      <c r="B46" s="29" t="s">
        <v>489</v>
      </c>
      <c r="C46" s="34" t="s">
        <v>94</v>
      </c>
      <c r="D46" s="31" t="s">
        <v>593</v>
      </c>
      <c r="E46" s="31" t="s">
        <v>594</v>
      </c>
      <c r="F46" s="31" t="s">
        <v>493</v>
      </c>
      <c r="G46" s="32" t="n">
        <v>5</v>
      </c>
      <c r="H46" s="32" t="n">
        <v>6</v>
      </c>
      <c r="I46" s="32" t="s">
        <v>45</v>
      </c>
      <c r="J46" s="33"/>
    </row>
    <row r="47" customFormat="false" ht="23.85" hidden="false" customHeight="false" outlineLevel="0" collapsed="false">
      <c r="A47" s="29" t="s">
        <v>595</v>
      </c>
      <c r="B47" s="29" t="s">
        <v>279</v>
      </c>
      <c r="C47" s="34" t="s">
        <v>94</v>
      </c>
      <c r="D47" s="31" t="s">
        <v>596</v>
      </c>
      <c r="E47" s="31" t="s">
        <v>597</v>
      </c>
      <c r="F47" s="31" t="s">
        <v>541</v>
      </c>
      <c r="G47" s="32" t="n">
        <v>6</v>
      </c>
      <c r="H47" s="32" t="n">
        <v>6</v>
      </c>
      <c r="I47" s="32" t="s">
        <v>45</v>
      </c>
      <c r="J47" s="33"/>
    </row>
    <row r="48" customFormat="false" ht="23.85" hidden="false" customHeight="false" outlineLevel="0" collapsed="false">
      <c r="A48" s="29" t="s">
        <v>598</v>
      </c>
      <c r="B48" s="29" t="s">
        <v>185</v>
      </c>
      <c r="C48" s="34" t="s">
        <v>94</v>
      </c>
      <c r="D48" s="31" t="s">
        <v>599</v>
      </c>
      <c r="E48" s="31" t="s">
        <v>600</v>
      </c>
      <c r="F48" s="31" t="s">
        <v>541</v>
      </c>
      <c r="G48" s="32" t="n">
        <v>8</v>
      </c>
      <c r="H48" s="32" t="n">
        <v>9</v>
      </c>
      <c r="I48" s="32" t="s">
        <v>45</v>
      </c>
      <c r="J48" s="33"/>
    </row>
    <row r="49" customFormat="false" ht="15" hidden="false" customHeight="false" outlineLevel="0" collapsed="false">
      <c r="A49" s="29" t="s">
        <v>601</v>
      </c>
      <c r="B49" s="29" t="s">
        <v>423</v>
      </c>
      <c r="C49" s="34" t="s">
        <v>94</v>
      </c>
      <c r="D49" s="31" t="s">
        <v>602</v>
      </c>
      <c r="E49" s="31" t="s">
        <v>603</v>
      </c>
      <c r="F49" s="31" t="s">
        <v>541</v>
      </c>
      <c r="G49" s="32" t="n">
        <v>9</v>
      </c>
      <c r="H49" s="32" t="n">
        <v>10</v>
      </c>
      <c r="I49" s="32" t="s">
        <v>45</v>
      </c>
      <c r="J49" s="33"/>
    </row>
    <row r="50" customFormat="false" ht="15" hidden="false" customHeight="false" outlineLevel="0" collapsed="false">
      <c r="A50" s="29" t="s">
        <v>604</v>
      </c>
      <c r="B50" s="29" t="s">
        <v>286</v>
      </c>
      <c r="C50" s="34" t="s">
        <v>94</v>
      </c>
      <c r="D50" s="31" t="s">
        <v>605</v>
      </c>
      <c r="E50" s="31" t="s">
        <v>606</v>
      </c>
      <c r="F50" s="31" t="s">
        <v>607</v>
      </c>
      <c r="G50" s="32" t="n">
        <v>5</v>
      </c>
      <c r="H50" s="32" t="n">
        <v>8</v>
      </c>
      <c r="I50" s="32" t="s">
        <v>45</v>
      </c>
      <c r="J50" s="33"/>
    </row>
    <row r="51" customFormat="false" ht="23.85" hidden="false" customHeight="false" outlineLevel="0" collapsed="false">
      <c r="A51" s="29" t="s">
        <v>608</v>
      </c>
      <c r="B51" s="29" t="s">
        <v>185</v>
      </c>
      <c r="C51" s="34" t="s">
        <v>609</v>
      </c>
      <c r="D51" s="31" t="s">
        <v>610</v>
      </c>
      <c r="E51" s="31" t="s">
        <v>611</v>
      </c>
      <c r="F51" s="31" t="s">
        <v>175</v>
      </c>
      <c r="G51" s="32" t="n">
        <v>7</v>
      </c>
      <c r="H51" s="32" t="n">
        <v>9</v>
      </c>
      <c r="I51" s="32" t="s">
        <v>45</v>
      </c>
      <c r="J51" s="33"/>
    </row>
    <row r="52" customFormat="false" ht="15" hidden="false" customHeight="false" outlineLevel="0" collapsed="false">
      <c r="A52" s="29" t="s">
        <v>612</v>
      </c>
      <c r="B52" s="29" t="s">
        <v>185</v>
      </c>
      <c r="C52" s="34" t="s">
        <v>609</v>
      </c>
      <c r="D52" s="31" t="s">
        <v>613</v>
      </c>
      <c r="E52" s="31" t="s">
        <v>355</v>
      </c>
      <c r="F52" s="31" t="s">
        <v>356</v>
      </c>
      <c r="G52" s="32" t="n">
        <v>10</v>
      </c>
      <c r="H52" s="32" t="n">
        <v>10</v>
      </c>
      <c r="I52" s="32" t="s">
        <v>45</v>
      </c>
      <c r="J52" s="33"/>
    </row>
    <row r="53" customFormat="false" ht="15" hidden="false" customHeight="false" outlineLevel="0" collapsed="false">
      <c r="A53" s="29" t="s">
        <v>614</v>
      </c>
      <c r="B53" s="29" t="s">
        <v>185</v>
      </c>
      <c r="C53" s="34" t="s">
        <v>609</v>
      </c>
      <c r="D53" s="31" t="s">
        <v>615</v>
      </c>
      <c r="E53" s="31" t="s">
        <v>355</v>
      </c>
      <c r="F53" s="31" t="s">
        <v>356</v>
      </c>
      <c r="G53" s="32" t="n">
        <v>10</v>
      </c>
      <c r="H53" s="32" t="n">
        <v>10</v>
      </c>
      <c r="I53" s="32" t="s">
        <v>45</v>
      </c>
      <c r="J53" s="33"/>
    </row>
    <row r="54" customFormat="false" ht="15" hidden="false" customHeight="false" outlineLevel="0" collapsed="false">
      <c r="A54" s="29" t="s">
        <v>616</v>
      </c>
      <c r="B54" s="29" t="s">
        <v>185</v>
      </c>
      <c r="C54" s="34" t="s">
        <v>609</v>
      </c>
      <c r="D54" s="31" t="s">
        <v>617</v>
      </c>
      <c r="E54" s="31" t="s">
        <v>355</v>
      </c>
      <c r="F54" s="31" t="s">
        <v>356</v>
      </c>
      <c r="G54" s="32" t="n">
        <v>10</v>
      </c>
      <c r="H54" s="32" t="n">
        <v>10</v>
      </c>
      <c r="I54" s="32" t="s">
        <v>45</v>
      </c>
      <c r="J54" s="33"/>
    </row>
    <row r="55" customFormat="false" ht="15" hidden="false" customHeight="false" outlineLevel="0" collapsed="false">
      <c r="A55" s="29" t="s">
        <v>618</v>
      </c>
      <c r="B55" s="29" t="s">
        <v>185</v>
      </c>
      <c r="C55" s="34" t="s">
        <v>609</v>
      </c>
      <c r="D55" s="31" t="s">
        <v>619</v>
      </c>
      <c r="E55" s="31" t="s">
        <v>355</v>
      </c>
      <c r="F55" s="31" t="s">
        <v>356</v>
      </c>
      <c r="G55" s="32" t="n">
        <v>10</v>
      </c>
      <c r="H55" s="32" t="n">
        <v>10</v>
      </c>
      <c r="I55" s="32" t="s">
        <v>45</v>
      </c>
      <c r="J55" s="33"/>
    </row>
    <row r="56" customFormat="false" ht="15" hidden="false" customHeight="false" outlineLevel="0" collapsed="false">
      <c r="A56" s="29" t="s">
        <v>620</v>
      </c>
      <c r="B56" s="29" t="s">
        <v>185</v>
      </c>
      <c r="C56" s="34" t="s">
        <v>609</v>
      </c>
      <c r="D56" s="31" t="s">
        <v>621</v>
      </c>
      <c r="E56" s="31" t="s">
        <v>355</v>
      </c>
      <c r="F56" s="31" t="s">
        <v>356</v>
      </c>
      <c r="G56" s="32" t="n">
        <v>10</v>
      </c>
      <c r="H56" s="32" t="n">
        <v>10</v>
      </c>
      <c r="I56" s="32" t="s">
        <v>45</v>
      </c>
      <c r="J56" s="33"/>
    </row>
    <row r="57" customFormat="false" ht="15" hidden="false" customHeight="false" outlineLevel="0" collapsed="false">
      <c r="A57" s="29" t="s">
        <v>622</v>
      </c>
      <c r="B57" s="29" t="s">
        <v>185</v>
      </c>
      <c r="C57" s="34" t="s">
        <v>609</v>
      </c>
      <c r="D57" s="31" t="s">
        <v>623</v>
      </c>
      <c r="E57" s="31" t="s">
        <v>355</v>
      </c>
      <c r="F57" s="31" t="s">
        <v>356</v>
      </c>
      <c r="G57" s="32" t="n">
        <v>10</v>
      </c>
      <c r="H57" s="32" t="n">
        <v>10</v>
      </c>
      <c r="I57" s="32" t="s">
        <v>45</v>
      </c>
      <c r="J57" s="33"/>
    </row>
    <row r="58" customFormat="false" ht="15" hidden="false" customHeight="false" outlineLevel="0" collapsed="false">
      <c r="A58" s="29" t="s">
        <v>624</v>
      </c>
      <c r="B58" s="29" t="s">
        <v>185</v>
      </c>
      <c r="C58" s="34" t="s">
        <v>609</v>
      </c>
      <c r="D58" s="31" t="s">
        <v>625</v>
      </c>
      <c r="E58" s="31" t="s">
        <v>355</v>
      </c>
      <c r="F58" s="31" t="s">
        <v>356</v>
      </c>
      <c r="G58" s="32" t="n">
        <v>10</v>
      </c>
      <c r="H58" s="32" t="n">
        <v>10</v>
      </c>
      <c r="I58" s="32" t="s">
        <v>45</v>
      </c>
      <c r="J58" s="33"/>
    </row>
    <row r="59" customFormat="false" ht="15" hidden="false" customHeight="false" outlineLevel="0" collapsed="false">
      <c r="A59" s="29" t="s">
        <v>626</v>
      </c>
      <c r="B59" s="29" t="s">
        <v>185</v>
      </c>
      <c r="C59" s="34" t="s">
        <v>609</v>
      </c>
      <c r="D59" s="31" t="s">
        <v>627</v>
      </c>
      <c r="E59" s="31" t="s">
        <v>355</v>
      </c>
      <c r="F59" s="31" t="s">
        <v>356</v>
      </c>
      <c r="G59" s="32" t="n">
        <v>10</v>
      </c>
      <c r="H59" s="32" t="n">
        <v>10</v>
      </c>
      <c r="I59" s="32" t="s">
        <v>45</v>
      </c>
      <c r="J59" s="33"/>
    </row>
    <row r="60" customFormat="false" ht="23.85" hidden="false" customHeight="false" outlineLevel="0" collapsed="false">
      <c r="A60" s="29" t="s">
        <v>628</v>
      </c>
      <c r="B60" s="29" t="s">
        <v>185</v>
      </c>
      <c r="C60" s="34" t="s">
        <v>609</v>
      </c>
      <c r="D60" s="31" t="s">
        <v>629</v>
      </c>
      <c r="E60" s="31" t="s">
        <v>355</v>
      </c>
      <c r="F60" s="31" t="s">
        <v>356</v>
      </c>
      <c r="G60" s="32" t="n">
        <v>10</v>
      </c>
      <c r="H60" s="32" t="n">
        <v>10</v>
      </c>
      <c r="I60" s="32" t="s">
        <v>45</v>
      </c>
      <c r="J60" s="33"/>
    </row>
    <row r="61" customFormat="false" ht="15" hidden="false" customHeight="false" outlineLevel="0" collapsed="false">
      <c r="A61" s="29" t="s">
        <v>630</v>
      </c>
      <c r="B61" s="29" t="s">
        <v>185</v>
      </c>
      <c r="C61" s="34" t="s">
        <v>609</v>
      </c>
      <c r="D61" s="31" t="s">
        <v>631</v>
      </c>
      <c r="E61" s="31" t="s">
        <v>355</v>
      </c>
      <c r="F61" s="31" t="s">
        <v>356</v>
      </c>
      <c r="G61" s="32" t="n">
        <v>10</v>
      </c>
      <c r="H61" s="32" t="n">
        <v>10</v>
      </c>
      <c r="I61" s="32" t="s">
        <v>45</v>
      </c>
      <c r="J61" s="33"/>
    </row>
    <row r="62" customFormat="false" ht="15" hidden="false" customHeight="false" outlineLevel="0" collapsed="false">
      <c r="A62" s="29" t="s">
        <v>632</v>
      </c>
      <c r="B62" s="29" t="s">
        <v>185</v>
      </c>
      <c r="C62" s="34" t="s">
        <v>609</v>
      </c>
      <c r="D62" s="31" t="s">
        <v>633</v>
      </c>
      <c r="E62" s="31" t="s">
        <v>355</v>
      </c>
      <c r="F62" s="31" t="s">
        <v>356</v>
      </c>
      <c r="G62" s="32" t="n">
        <v>10</v>
      </c>
      <c r="H62" s="32" t="n">
        <v>10</v>
      </c>
      <c r="I62" s="32" t="s">
        <v>45</v>
      </c>
      <c r="J62" s="33"/>
    </row>
    <row r="63" customFormat="false" ht="15" hidden="false" customHeight="false" outlineLevel="0" collapsed="false">
      <c r="A63" s="29" t="s">
        <v>634</v>
      </c>
      <c r="B63" s="29" t="s">
        <v>185</v>
      </c>
      <c r="C63" s="34" t="s">
        <v>609</v>
      </c>
      <c r="D63" s="31" t="s">
        <v>635</v>
      </c>
      <c r="E63" s="31" t="s">
        <v>355</v>
      </c>
      <c r="F63" s="31" t="s">
        <v>356</v>
      </c>
      <c r="G63" s="32" t="n">
        <v>10</v>
      </c>
      <c r="H63" s="32" t="n">
        <v>10</v>
      </c>
      <c r="I63" s="32" t="s">
        <v>45</v>
      </c>
      <c r="J63" s="33"/>
    </row>
    <row r="64" customFormat="false" ht="23.85" hidden="false" customHeight="false" outlineLevel="0" collapsed="false">
      <c r="A64" s="29" t="s">
        <v>636</v>
      </c>
      <c r="B64" s="29" t="s">
        <v>637</v>
      </c>
      <c r="C64" s="34" t="s">
        <v>609</v>
      </c>
      <c r="D64" s="31" t="s">
        <v>638</v>
      </c>
      <c r="E64" s="31" t="s">
        <v>639</v>
      </c>
      <c r="F64" s="31" t="s">
        <v>356</v>
      </c>
      <c r="G64" s="32" t="n">
        <v>9</v>
      </c>
      <c r="H64" s="32" t="n">
        <v>10</v>
      </c>
      <c r="I64" s="32" t="s">
        <v>45</v>
      </c>
      <c r="J64" s="33"/>
    </row>
    <row r="65" customFormat="false" ht="15" hidden="false" customHeight="false" outlineLevel="0" collapsed="false">
      <c r="A65" s="29" t="s">
        <v>640</v>
      </c>
      <c r="B65" s="29" t="s">
        <v>637</v>
      </c>
      <c r="C65" s="34" t="s">
        <v>609</v>
      </c>
      <c r="D65" s="31" t="s">
        <v>641</v>
      </c>
      <c r="E65" s="31" t="s">
        <v>642</v>
      </c>
      <c r="F65" s="31" t="s">
        <v>356</v>
      </c>
      <c r="G65" s="32" t="n">
        <v>10</v>
      </c>
      <c r="H65" s="32" t="n">
        <v>11</v>
      </c>
      <c r="I65" s="32" t="s">
        <v>45</v>
      </c>
      <c r="J65" s="33"/>
    </row>
    <row r="66" customFormat="false" ht="23.85" hidden="false" customHeight="false" outlineLevel="0" collapsed="false">
      <c r="A66" s="29" t="s">
        <v>643</v>
      </c>
      <c r="B66" s="29" t="s">
        <v>644</v>
      </c>
      <c r="C66" s="34" t="s">
        <v>609</v>
      </c>
      <c r="D66" s="31" t="s">
        <v>645</v>
      </c>
      <c r="E66" s="31" t="s">
        <v>646</v>
      </c>
      <c r="F66" s="31" t="s">
        <v>647</v>
      </c>
      <c r="G66" s="32" t="n">
        <v>9</v>
      </c>
      <c r="H66" s="32" t="n">
        <v>9</v>
      </c>
      <c r="I66" s="32" t="s">
        <v>45</v>
      </c>
      <c r="J66" s="33"/>
    </row>
    <row r="67" customFormat="false" ht="15" hidden="false" customHeight="false" outlineLevel="0" collapsed="false">
      <c r="A67" s="29" t="s">
        <v>648</v>
      </c>
      <c r="B67" s="29" t="s">
        <v>423</v>
      </c>
      <c r="C67" s="34" t="s">
        <v>609</v>
      </c>
      <c r="D67" s="31" t="s">
        <v>649</v>
      </c>
      <c r="E67" s="31" t="s">
        <v>650</v>
      </c>
      <c r="F67" s="31" t="s">
        <v>356</v>
      </c>
      <c r="G67" s="32" t="n">
        <v>11</v>
      </c>
      <c r="H67" s="32" t="n">
        <v>11</v>
      </c>
      <c r="I67" s="32" t="s">
        <v>45</v>
      </c>
      <c r="J67" s="33"/>
    </row>
    <row r="68" customFormat="false" ht="15" hidden="false" customHeight="false" outlineLevel="0" collapsed="false">
      <c r="A68" s="29" t="s">
        <v>651</v>
      </c>
      <c r="B68" s="29" t="s">
        <v>180</v>
      </c>
      <c r="C68" s="34" t="s">
        <v>83</v>
      </c>
      <c r="D68" s="31" t="s">
        <v>652</v>
      </c>
      <c r="E68" s="31" t="s">
        <v>428</v>
      </c>
      <c r="F68" s="31" t="s">
        <v>647</v>
      </c>
      <c r="G68" s="32" t="n">
        <v>12</v>
      </c>
      <c r="H68" s="32" t="n">
        <v>12</v>
      </c>
      <c r="I68" s="32" t="s">
        <v>45</v>
      </c>
      <c r="J68" s="33"/>
    </row>
  </sheetData>
  <autoFilter ref="A4:J68"/>
  <conditionalFormatting sqref="I5:I68">
    <cfRule type="expression" priority="2" aboveAverage="0" equalAverage="0" bottom="0" percent="0" rank="0" text="" dxfId="15">
      <formula>$I5="Готово"</formula>
    </cfRule>
    <cfRule type="expression" priority="3" aboveAverage="0" equalAverage="0" bottom="0" percent="0" rank="0" text="" dxfId="16">
      <formula>$I5="В работе"</formula>
    </cfRule>
    <cfRule type="expression" priority="4" aboveAverage="0" equalAverage="0" bottom="0" percent="0" rank="0" text="" dxfId="17">
      <formula>$I5="Блокировано"</formula>
    </cfRule>
  </conditionalFormatting>
  <dataValidations count="2">
    <dataValidation allowBlank="false" errorStyle="stop" operator="between" showDropDown="false" showErrorMessage="false" showInputMessage="false" sqref="G5:H68" type="whole">
      <formula1>1</formula1>
      <formula2>12</formula2>
    </dataValidation>
    <dataValidation allowBlank="false" errorStyle="stop" operator="between" showDropDown="false" showErrorMessage="false" showInputMessage="false" sqref="I5:I68" type="list">
      <formula1>"Не начато,В работе,Готово,Блокировано"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80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8" min="7" style="0" width="8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28" t="s">
        <v>653</v>
      </c>
    </row>
    <row r="2" customFormat="false" ht="15" hidden="false" customHeight="false" outlineLevel="0" collapsed="false">
      <c r="A2" s="18" t="s">
        <v>158</v>
      </c>
    </row>
    <row r="4" customFormat="false" ht="30" hidden="false" customHeight="true" outlineLevel="0" collapsed="false">
      <c r="A4" s="4" t="s">
        <v>159</v>
      </c>
      <c r="B4" s="4" t="s">
        <v>160</v>
      </c>
      <c r="C4" s="4" t="s">
        <v>35</v>
      </c>
      <c r="D4" s="4" t="s">
        <v>161</v>
      </c>
      <c r="E4" s="4" t="s">
        <v>162</v>
      </c>
      <c r="F4" s="4" t="s">
        <v>163</v>
      </c>
      <c r="G4" s="4" t="s">
        <v>164</v>
      </c>
      <c r="H4" s="4" t="s">
        <v>165</v>
      </c>
      <c r="I4" s="4" t="s">
        <v>40</v>
      </c>
      <c r="J4" s="4" t="s">
        <v>166</v>
      </c>
    </row>
    <row r="5" customFormat="false" ht="23.85" hidden="false" customHeight="false" outlineLevel="0" collapsed="false">
      <c r="A5" s="29" t="s">
        <v>654</v>
      </c>
      <c r="B5" s="29" t="s">
        <v>655</v>
      </c>
      <c r="C5" s="35" t="s">
        <v>117</v>
      </c>
      <c r="D5" s="31" t="s">
        <v>656</v>
      </c>
      <c r="E5" s="31" t="s">
        <v>657</v>
      </c>
      <c r="F5" s="31" t="s">
        <v>658</v>
      </c>
      <c r="G5" s="32" t="n">
        <v>1</v>
      </c>
      <c r="H5" s="32" t="n">
        <v>1</v>
      </c>
      <c r="I5" s="32" t="s">
        <v>45</v>
      </c>
      <c r="J5" s="33"/>
    </row>
    <row r="6" customFormat="false" ht="15" hidden="false" customHeight="false" outlineLevel="0" collapsed="false">
      <c r="A6" s="29" t="s">
        <v>659</v>
      </c>
      <c r="B6" s="29" t="s">
        <v>286</v>
      </c>
      <c r="C6" s="35" t="s">
        <v>117</v>
      </c>
      <c r="D6" s="31" t="s">
        <v>660</v>
      </c>
      <c r="E6" s="31" t="s">
        <v>532</v>
      </c>
      <c r="F6" s="31" t="s">
        <v>658</v>
      </c>
      <c r="G6" s="32" t="n">
        <v>2</v>
      </c>
      <c r="H6" s="32" t="n">
        <v>3</v>
      </c>
      <c r="I6" s="32" t="s">
        <v>45</v>
      </c>
      <c r="J6" s="33"/>
    </row>
    <row r="7" customFormat="false" ht="23.85" hidden="false" customHeight="false" outlineLevel="0" collapsed="false">
      <c r="A7" s="29" t="s">
        <v>661</v>
      </c>
      <c r="B7" s="29" t="s">
        <v>662</v>
      </c>
      <c r="C7" s="35" t="s">
        <v>117</v>
      </c>
      <c r="D7" s="31" t="s">
        <v>663</v>
      </c>
      <c r="E7" s="31" t="s">
        <v>664</v>
      </c>
      <c r="F7" s="31" t="s">
        <v>665</v>
      </c>
      <c r="G7" s="32" t="n">
        <v>2</v>
      </c>
      <c r="H7" s="32" t="n">
        <v>3</v>
      </c>
      <c r="I7" s="32" t="s">
        <v>45</v>
      </c>
      <c r="J7" s="33"/>
    </row>
    <row r="8" customFormat="false" ht="23.85" hidden="false" customHeight="false" outlineLevel="0" collapsed="false">
      <c r="A8" s="29" t="s">
        <v>666</v>
      </c>
      <c r="B8" s="29" t="s">
        <v>211</v>
      </c>
      <c r="C8" s="35" t="s">
        <v>117</v>
      </c>
      <c r="D8" s="31" t="s">
        <v>667</v>
      </c>
      <c r="E8" s="31" t="s">
        <v>668</v>
      </c>
      <c r="F8" s="31" t="s">
        <v>669</v>
      </c>
      <c r="G8" s="32" t="n">
        <v>4</v>
      </c>
      <c r="H8" s="32" t="n">
        <v>5</v>
      </c>
      <c r="I8" s="32" t="s">
        <v>45</v>
      </c>
      <c r="J8" s="33"/>
    </row>
    <row r="9" customFormat="false" ht="15" hidden="false" customHeight="false" outlineLevel="0" collapsed="false">
      <c r="A9" s="29" t="s">
        <v>670</v>
      </c>
      <c r="B9" s="29" t="s">
        <v>211</v>
      </c>
      <c r="C9" s="35" t="s">
        <v>117</v>
      </c>
      <c r="D9" s="31" t="s">
        <v>671</v>
      </c>
      <c r="E9" s="31" t="s">
        <v>672</v>
      </c>
      <c r="F9" s="31" t="s">
        <v>669</v>
      </c>
      <c r="G9" s="32" t="n">
        <v>4</v>
      </c>
      <c r="H9" s="32" t="n">
        <v>5</v>
      </c>
      <c r="I9" s="32" t="s">
        <v>45</v>
      </c>
      <c r="J9" s="33"/>
    </row>
    <row r="10" customFormat="false" ht="23.85" hidden="false" customHeight="false" outlineLevel="0" collapsed="false">
      <c r="A10" s="29" t="s">
        <v>673</v>
      </c>
      <c r="B10" s="29" t="s">
        <v>674</v>
      </c>
      <c r="C10" s="35" t="s">
        <v>117</v>
      </c>
      <c r="D10" s="31" t="s">
        <v>675</v>
      </c>
      <c r="E10" s="31" t="s">
        <v>676</v>
      </c>
      <c r="F10" s="31" t="s">
        <v>677</v>
      </c>
      <c r="G10" s="32" t="n">
        <v>5</v>
      </c>
      <c r="H10" s="32" t="n">
        <v>6</v>
      </c>
      <c r="I10" s="32" t="s">
        <v>45</v>
      </c>
      <c r="J10" s="33"/>
    </row>
    <row r="11" customFormat="false" ht="15" hidden="false" customHeight="false" outlineLevel="0" collapsed="false">
      <c r="A11" s="29" t="s">
        <v>678</v>
      </c>
      <c r="B11" s="29" t="s">
        <v>674</v>
      </c>
      <c r="C11" s="35" t="s">
        <v>117</v>
      </c>
      <c r="D11" s="31" t="s">
        <v>679</v>
      </c>
      <c r="E11" s="31" t="s">
        <v>680</v>
      </c>
      <c r="F11" s="31" t="s">
        <v>677</v>
      </c>
      <c r="G11" s="32" t="n">
        <v>5</v>
      </c>
      <c r="H11" s="32" t="n">
        <v>6</v>
      </c>
      <c r="I11" s="32" t="s">
        <v>45</v>
      </c>
      <c r="J11" s="33"/>
    </row>
    <row r="12" customFormat="false" ht="23.85" hidden="false" customHeight="false" outlineLevel="0" collapsed="false">
      <c r="A12" s="29" t="s">
        <v>681</v>
      </c>
      <c r="B12" s="29" t="s">
        <v>674</v>
      </c>
      <c r="C12" s="35" t="s">
        <v>117</v>
      </c>
      <c r="D12" s="31" t="s">
        <v>682</v>
      </c>
      <c r="E12" s="31" t="s">
        <v>683</v>
      </c>
      <c r="F12" s="31" t="s">
        <v>684</v>
      </c>
      <c r="G12" s="32" t="n">
        <v>7</v>
      </c>
      <c r="H12" s="32" t="n">
        <v>8</v>
      </c>
      <c r="I12" s="32" t="s">
        <v>45</v>
      </c>
      <c r="J12" s="33"/>
    </row>
    <row r="13" customFormat="false" ht="23.85" hidden="false" customHeight="false" outlineLevel="0" collapsed="false">
      <c r="A13" s="29" t="s">
        <v>685</v>
      </c>
      <c r="B13" s="29" t="s">
        <v>674</v>
      </c>
      <c r="C13" s="35" t="s">
        <v>117</v>
      </c>
      <c r="D13" s="31" t="s">
        <v>686</v>
      </c>
      <c r="E13" s="31" t="s">
        <v>687</v>
      </c>
      <c r="F13" s="31" t="s">
        <v>688</v>
      </c>
      <c r="G13" s="32" t="n">
        <v>7</v>
      </c>
      <c r="H13" s="32" t="n">
        <v>8</v>
      </c>
      <c r="I13" s="32" t="s">
        <v>45</v>
      </c>
      <c r="J13" s="33"/>
    </row>
    <row r="14" customFormat="false" ht="23.85" hidden="false" customHeight="false" outlineLevel="0" collapsed="false">
      <c r="A14" s="29" t="s">
        <v>689</v>
      </c>
      <c r="B14" s="29" t="s">
        <v>674</v>
      </c>
      <c r="C14" s="35" t="s">
        <v>117</v>
      </c>
      <c r="D14" s="31" t="s">
        <v>690</v>
      </c>
      <c r="E14" s="31" t="s">
        <v>691</v>
      </c>
      <c r="F14" s="31" t="s">
        <v>665</v>
      </c>
      <c r="G14" s="32" t="n">
        <v>7</v>
      </c>
      <c r="H14" s="32" t="n">
        <v>8</v>
      </c>
      <c r="I14" s="32" t="s">
        <v>45</v>
      </c>
      <c r="J14" s="33"/>
    </row>
    <row r="15" customFormat="false" ht="15" hidden="false" customHeight="false" outlineLevel="0" collapsed="false">
      <c r="A15" s="29" t="s">
        <v>692</v>
      </c>
      <c r="B15" s="29" t="s">
        <v>674</v>
      </c>
      <c r="C15" s="35" t="s">
        <v>117</v>
      </c>
      <c r="D15" s="31" t="s">
        <v>693</v>
      </c>
      <c r="E15" s="31" t="s">
        <v>694</v>
      </c>
      <c r="F15" s="31" t="s">
        <v>665</v>
      </c>
      <c r="G15" s="32" t="n">
        <v>8</v>
      </c>
      <c r="H15" s="32" t="n">
        <v>9</v>
      </c>
      <c r="I15" s="32" t="s">
        <v>45</v>
      </c>
      <c r="J15" s="33"/>
    </row>
    <row r="16" customFormat="false" ht="23.85" hidden="false" customHeight="false" outlineLevel="0" collapsed="false">
      <c r="A16" s="29" t="s">
        <v>695</v>
      </c>
      <c r="B16" s="29" t="s">
        <v>696</v>
      </c>
      <c r="C16" s="35" t="s">
        <v>117</v>
      </c>
      <c r="D16" s="31" t="s">
        <v>697</v>
      </c>
      <c r="E16" s="31" t="s">
        <v>698</v>
      </c>
      <c r="F16" s="31" t="s">
        <v>688</v>
      </c>
      <c r="G16" s="32" t="n">
        <v>7</v>
      </c>
      <c r="H16" s="32" t="n">
        <v>8</v>
      </c>
      <c r="I16" s="32" t="s">
        <v>45</v>
      </c>
      <c r="J16" s="33"/>
    </row>
    <row r="17" customFormat="false" ht="23.85" hidden="false" customHeight="false" outlineLevel="0" collapsed="false">
      <c r="A17" s="29" t="s">
        <v>699</v>
      </c>
      <c r="B17" s="29" t="s">
        <v>286</v>
      </c>
      <c r="C17" s="35" t="s">
        <v>117</v>
      </c>
      <c r="D17" s="31" t="s">
        <v>700</v>
      </c>
      <c r="E17" s="31" t="s">
        <v>701</v>
      </c>
      <c r="F17" s="31" t="s">
        <v>665</v>
      </c>
      <c r="G17" s="32" t="n">
        <v>8</v>
      </c>
      <c r="H17" s="32" t="n">
        <v>9</v>
      </c>
      <c r="I17" s="32" t="s">
        <v>45</v>
      </c>
      <c r="J17" s="33"/>
    </row>
    <row r="18" customFormat="false" ht="23.85" hidden="false" customHeight="false" outlineLevel="0" collapsed="false">
      <c r="A18" s="29" t="s">
        <v>702</v>
      </c>
      <c r="B18" s="29" t="s">
        <v>662</v>
      </c>
      <c r="C18" s="35" t="s">
        <v>703</v>
      </c>
      <c r="D18" s="31" t="s">
        <v>704</v>
      </c>
      <c r="E18" s="31" t="s">
        <v>705</v>
      </c>
      <c r="F18" s="31" t="s">
        <v>706</v>
      </c>
      <c r="G18" s="32" t="n">
        <v>2</v>
      </c>
      <c r="H18" s="32" t="n">
        <v>3</v>
      </c>
      <c r="I18" s="32" t="s">
        <v>45</v>
      </c>
      <c r="J18" s="33"/>
    </row>
    <row r="19" customFormat="false" ht="23.85" hidden="false" customHeight="false" outlineLevel="0" collapsed="false">
      <c r="A19" s="29" t="s">
        <v>707</v>
      </c>
      <c r="B19" s="29" t="s">
        <v>662</v>
      </c>
      <c r="C19" s="35" t="s">
        <v>703</v>
      </c>
      <c r="D19" s="31" t="s">
        <v>708</v>
      </c>
      <c r="E19" s="31" t="s">
        <v>709</v>
      </c>
      <c r="F19" s="31" t="s">
        <v>710</v>
      </c>
      <c r="G19" s="32" t="n">
        <v>2</v>
      </c>
      <c r="H19" s="32" t="n">
        <v>3</v>
      </c>
      <c r="I19" s="32" t="s">
        <v>45</v>
      </c>
      <c r="J19" s="33"/>
    </row>
    <row r="20" customFormat="false" ht="15" hidden="false" customHeight="false" outlineLevel="0" collapsed="false">
      <c r="A20" s="29" t="s">
        <v>711</v>
      </c>
      <c r="B20" s="29" t="s">
        <v>662</v>
      </c>
      <c r="C20" s="35" t="s">
        <v>703</v>
      </c>
      <c r="D20" s="31" t="s">
        <v>712</v>
      </c>
      <c r="E20" s="31" t="s">
        <v>713</v>
      </c>
      <c r="F20" s="31" t="s">
        <v>710</v>
      </c>
      <c r="G20" s="32" t="n">
        <v>3</v>
      </c>
      <c r="H20" s="32" t="n">
        <v>4</v>
      </c>
      <c r="I20" s="32" t="s">
        <v>45</v>
      </c>
      <c r="J20" s="33"/>
    </row>
    <row r="21" customFormat="false" ht="15" hidden="false" customHeight="false" outlineLevel="0" collapsed="false">
      <c r="A21" s="29" t="s">
        <v>714</v>
      </c>
      <c r="B21" s="29" t="s">
        <v>662</v>
      </c>
      <c r="C21" s="35" t="s">
        <v>703</v>
      </c>
      <c r="D21" s="31" t="s">
        <v>715</v>
      </c>
      <c r="E21" s="31" t="s">
        <v>716</v>
      </c>
      <c r="F21" s="31" t="s">
        <v>717</v>
      </c>
      <c r="G21" s="32" t="n">
        <v>4</v>
      </c>
      <c r="H21" s="32" t="n">
        <v>5</v>
      </c>
      <c r="I21" s="32" t="s">
        <v>45</v>
      </c>
      <c r="J21" s="33"/>
    </row>
    <row r="22" customFormat="false" ht="15" hidden="false" customHeight="false" outlineLevel="0" collapsed="false">
      <c r="A22" s="29" t="s">
        <v>718</v>
      </c>
      <c r="B22" s="29" t="s">
        <v>719</v>
      </c>
      <c r="C22" s="35" t="s">
        <v>703</v>
      </c>
      <c r="D22" s="31" t="s">
        <v>720</v>
      </c>
      <c r="E22" s="31" t="s">
        <v>721</v>
      </c>
      <c r="F22" s="31" t="s">
        <v>722</v>
      </c>
      <c r="G22" s="32" t="n">
        <v>4</v>
      </c>
      <c r="H22" s="32" t="n">
        <v>5</v>
      </c>
      <c r="I22" s="32" t="s">
        <v>45</v>
      </c>
      <c r="J22" s="33"/>
    </row>
    <row r="23" customFormat="false" ht="15" hidden="false" customHeight="false" outlineLevel="0" collapsed="false">
      <c r="A23" s="29" t="s">
        <v>723</v>
      </c>
      <c r="B23" s="29" t="s">
        <v>662</v>
      </c>
      <c r="C23" s="35" t="s">
        <v>703</v>
      </c>
      <c r="D23" s="31" t="s">
        <v>724</v>
      </c>
      <c r="E23" s="31" t="s">
        <v>725</v>
      </c>
      <c r="F23" s="31" t="s">
        <v>665</v>
      </c>
      <c r="G23" s="32" t="n">
        <v>3</v>
      </c>
      <c r="H23" s="32" t="n">
        <v>4</v>
      </c>
      <c r="I23" s="32" t="s">
        <v>45</v>
      </c>
      <c r="J23" s="33"/>
    </row>
    <row r="24" customFormat="false" ht="23.85" hidden="false" customHeight="false" outlineLevel="0" collapsed="false">
      <c r="A24" s="29" t="s">
        <v>726</v>
      </c>
      <c r="B24" s="29" t="s">
        <v>727</v>
      </c>
      <c r="C24" s="35" t="s">
        <v>728</v>
      </c>
      <c r="D24" s="31" t="s">
        <v>729</v>
      </c>
      <c r="E24" s="31" t="s">
        <v>730</v>
      </c>
      <c r="F24" s="31" t="s">
        <v>731</v>
      </c>
      <c r="G24" s="32" t="n">
        <v>7</v>
      </c>
      <c r="H24" s="32" t="n">
        <v>8</v>
      </c>
      <c r="I24" s="32" t="s">
        <v>45</v>
      </c>
      <c r="J24" s="33"/>
    </row>
    <row r="25" customFormat="false" ht="15" hidden="false" customHeight="false" outlineLevel="0" collapsed="false">
      <c r="A25" s="29" t="s">
        <v>732</v>
      </c>
      <c r="B25" s="29" t="s">
        <v>719</v>
      </c>
      <c r="C25" s="35" t="s">
        <v>728</v>
      </c>
      <c r="D25" s="31" t="s">
        <v>733</v>
      </c>
      <c r="E25" s="31" t="s">
        <v>734</v>
      </c>
      <c r="F25" s="31" t="s">
        <v>731</v>
      </c>
      <c r="G25" s="32" t="n">
        <v>7</v>
      </c>
      <c r="H25" s="32" t="n">
        <v>8</v>
      </c>
      <c r="I25" s="32" t="s">
        <v>45</v>
      </c>
      <c r="J25" s="33"/>
    </row>
    <row r="26" customFormat="false" ht="15" hidden="false" customHeight="false" outlineLevel="0" collapsed="false">
      <c r="A26" s="29" t="s">
        <v>735</v>
      </c>
      <c r="B26" s="29" t="s">
        <v>662</v>
      </c>
      <c r="C26" s="35" t="s">
        <v>128</v>
      </c>
      <c r="D26" s="31" t="s">
        <v>736</v>
      </c>
      <c r="E26" s="31" t="s">
        <v>737</v>
      </c>
      <c r="F26" s="31" t="s">
        <v>738</v>
      </c>
      <c r="G26" s="32" t="n">
        <v>3</v>
      </c>
      <c r="H26" s="32" t="n">
        <v>4</v>
      </c>
      <c r="I26" s="32" t="s">
        <v>45</v>
      </c>
      <c r="J26" s="33"/>
    </row>
    <row r="27" customFormat="false" ht="23.85" hidden="false" customHeight="false" outlineLevel="0" collapsed="false">
      <c r="A27" s="29" t="s">
        <v>739</v>
      </c>
      <c r="B27" s="29" t="s">
        <v>740</v>
      </c>
      <c r="C27" s="35" t="s">
        <v>128</v>
      </c>
      <c r="D27" s="31" t="s">
        <v>741</v>
      </c>
      <c r="E27" s="31" t="s">
        <v>742</v>
      </c>
      <c r="F27" s="31" t="s">
        <v>743</v>
      </c>
      <c r="G27" s="32" t="n">
        <v>6</v>
      </c>
      <c r="H27" s="32" t="n">
        <v>6</v>
      </c>
      <c r="I27" s="32" t="s">
        <v>45</v>
      </c>
      <c r="J27" s="33"/>
    </row>
    <row r="28" customFormat="false" ht="15" hidden="false" customHeight="false" outlineLevel="0" collapsed="false">
      <c r="A28" s="29" t="s">
        <v>744</v>
      </c>
      <c r="B28" s="29" t="s">
        <v>674</v>
      </c>
      <c r="C28" s="35" t="s">
        <v>128</v>
      </c>
      <c r="D28" s="31" t="s">
        <v>745</v>
      </c>
      <c r="E28" s="31" t="s">
        <v>746</v>
      </c>
      <c r="F28" s="31" t="s">
        <v>743</v>
      </c>
      <c r="G28" s="32" t="n">
        <v>4</v>
      </c>
      <c r="H28" s="32" t="n">
        <v>5</v>
      </c>
      <c r="I28" s="32" t="s">
        <v>45</v>
      </c>
      <c r="J28" s="33"/>
    </row>
    <row r="29" customFormat="false" ht="23.85" hidden="false" customHeight="false" outlineLevel="0" collapsed="false">
      <c r="A29" s="29" t="s">
        <v>747</v>
      </c>
      <c r="B29" s="29" t="s">
        <v>674</v>
      </c>
      <c r="C29" s="35" t="s">
        <v>128</v>
      </c>
      <c r="D29" s="31" t="s">
        <v>748</v>
      </c>
      <c r="E29" s="31" t="s">
        <v>749</v>
      </c>
      <c r="F29" s="31" t="s">
        <v>750</v>
      </c>
      <c r="G29" s="32" t="n">
        <v>5</v>
      </c>
      <c r="H29" s="32" t="n">
        <v>6</v>
      </c>
      <c r="I29" s="32" t="s">
        <v>45</v>
      </c>
      <c r="J29" s="33"/>
    </row>
    <row r="30" customFormat="false" ht="15" hidden="false" customHeight="false" outlineLevel="0" collapsed="false">
      <c r="A30" s="29" t="s">
        <v>751</v>
      </c>
      <c r="B30" s="29" t="s">
        <v>674</v>
      </c>
      <c r="C30" s="35" t="s">
        <v>128</v>
      </c>
      <c r="D30" s="31" t="s">
        <v>752</v>
      </c>
      <c r="E30" s="31" t="s">
        <v>753</v>
      </c>
      <c r="F30" s="31" t="s">
        <v>743</v>
      </c>
      <c r="G30" s="32" t="n">
        <v>6</v>
      </c>
      <c r="H30" s="32" t="n">
        <v>7</v>
      </c>
      <c r="I30" s="32" t="s">
        <v>45</v>
      </c>
      <c r="J30" s="33"/>
    </row>
    <row r="31" customFormat="false" ht="23.85" hidden="false" customHeight="false" outlineLevel="0" collapsed="false">
      <c r="A31" s="29" t="s">
        <v>754</v>
      </c>
      <c r="B31" s="29" t="s">
        <v>674</v>
      </c>
      <c r="C31" s="35" t="s">
        <v>128</v>
      </c>
      <c r="D31" s="31" t="s">
        <v>755</v>
      </c>
      <c r="E31" s="31" t="s">
        <v>683</v>
      </c>
      <c r="F31" s="31" t="s">
        <v>743</v>
      </c>
      <c r="G31" s="32" t="n">
        <v>7</v>
      </c>
      <c r="H31" s="32" t="n">
        <v>8</v>
      </c>
      <c r="I31" s="32" t="s">
        <v>45</v>
      </c>
      <c r="J31" s="33"/>
    </row>
    <row r="32" customFormat="false" ht="15" hidden="false" customHeight="false" outlineLevel="0" collapsed="false">
      <c r="A32" s="29" t="s">
        <v>756</v>
      </c>
      <c r="B32" s="29" t="s">
        <v>674</v>
      </c>
      <c r="C32" s="35" t="s">
        <v>128</v>
      </c>
      <c r="D32" s="31" t="s">
        <v>757</v>
      </c>
      <c r="E32" s="31" t="s">
        <v>758</v>
      </c>
      <c r="F32" s="31" t="s">
        <v>743</v>
      </c>
      <c r="G32" s="32" t="n">
        <v>7</v>
      </c>
      <c r="H32" s="32" t="n">
        <v>8</v>
      </c>
      <c r="I32" s="32" t="s">
        <v>45</v>
      </c>
      <c r="J32" s="33"/>
    </row>
    <row r="33" customFormat="false" ht="15" hidden="false" customHeight="false" outlineLevel="0" collapsed="false">
      <c r="A33" s="29" t="s">
        <v>759</v>
      </c>
      <c r="B33" s="29" t="s">
        <v>674</v>
      </c>
      <c r="C33" s="35" t="s">
        <v>128</v>
      </c>
      <c r="D33" s="31" t="s">
        <v>760</v>
      </c>
      <c r="E33" s="31" t="s">
        <v>761</v>
      </c>
      <c r="F33" s="31" t="s">
        <v>743</v>
      </c>
      <c r="G33" s="32" t="n">
        <v>8</v>
      </c>
      <c r="H33" s="32" t="n">
        <v>9</v>
      </c>
      <c r="I33" s="32" t="s">
        <v>45</v>
      </c>
      <c r="J33" s="33"/>
    </row>
    <row r="34" customFormat="false" ht="23.85" hidden="false" customHeight="false" outlineLevel="0" collapsed="false">
      <c r="A34" s="29" t="s">
        <v>762</v>
      </c>
      <c r="B34" s="29" t="s">
        <v>674</v>
      </c>
      <c r="C34" s="35" t="s">
        <v>128</v>
      </c>
      <c r="D34" s="31" t="s">
        <v>763</v>
      </c>
      <c r="E34" s="31" t="s">
        <v>764</v>
      </c>
      <c r="F34" s="31" t="s">
        <v>743</v>
      </c>
      <c r="G34" s="32" t="n">
        <v>7</v>
      </c>
      <c r="H34" s="32" t="n">
        <v>8</v>
      </c>
      <c r="I34" s="32" t="s">
        <v>45</v>
      </c>
      <c r="J34" s="33"/>
    </row>
    <row r="35" customFormat="false" ht="15" hidden="false" customHeight="false" outlineLevel="0" collapsed="false">
      <c r="A35" s="29" t="s">
        <v>765</v>
      </c>
      <c r="B35" s="29" t="s">
        <v>674</v>
      </c>
      <c r="C35" s="35" t="s">
        <v>128</v>
      </c>
      <c r="D35" s="31" t="s">
        <v>766</v>
      </c>
      <c r="E35" s="31" t="s">
        <v>767</v>
      </c>
      <c r="F35" s="31" t="s">
        <v>743</v>
      </c>
      <c r="G35" s="32" t="n">
        <v>9</v>
      </c>
      <c r="H35" s="32" t="n">
        <v>9</v>
      </c>
      <c r="I35" s="32" t="s">
        <v>45</v>
      </c>
      <c r="J35" s="33"/>
    </row>
    <row r="36" customFormat="false" ht="15" hidden="false" customHeight="false" outlineLevel="0" collapsed="false">
      <c r="A36" s="29" t="s">
        <v>768</v>
      </c>
      <c r="B36" s="29" t="s">
        <v>674</v>
      </c>
      <c r="C36" s="35" t="s">
        <v>128</v>
      </c>
      <c r="D36" s="31" t="s">
        <v>769</v>
      </c>
      <c r="E36" s="31" t="s">
        <v>770</v>
      </c>
      <c r="F36" s="31" t="s">
        <v>743</v>
      </c>
      <c r="G36" s="32" t="n">
        <v>8</v>
      </c>
      <c r="H36" s="32" t="n">
        <v>9</v>
      </c>
      <c r="I36" s="32" t="s">
        <v>45</v>
      </c>
      <c r="J36" s="33"/>
    </row>
    <row r="37" customFormat="false" ht="23.85" hidden="false" customHeight="false" outlineLevel="0" collapsed="false">
      <c r="A37" s="29" t="s">
        <v>771</v>
      </c>
      <c r="B37" s="29" t="s">
        <v>674</v>
      </c>
      <c r="C37" s="35" t="s">
        <v>128</v>
      </c>
      <c r="D37" s="31" t="s">
        <v>772</v>
      </c>
      <c r="E37" s="31" t="s">
        <v>773</v>
      </c>
      <c r="F37" s="31" t="s">
        <v>743</v>
      </c>
      <c r="G37" s="32" t="n">
        <v>5</v>
      </c>
      <c r="H37" s="32" t="n">
        <v>6</v>
      </c>
      <c r="I37" s="32" t="s">
        <v>45</v>
      </c>
      <c r="J37" s="33"/>
    </row>
    <row r="38" customFormat="false" ht="15" hidden="false" customHeight="false" outlineLevel="0" collapsed="false">
      <c r="A38" s="29" t="s">
        <v>774</v>
      </c>
      <c r="B38" s="29" t="s">
        <v>489</v>
      </c>
      <c r="C38" s="35" t="s">
        <v>128</v>
      </c>
      <c r="D38" s="31" t="s">
        <v>775</v>
      </c>
      <c r="E38" s="31" t="s">
        <v>776</v>
      </c>
      <c r="F38" s="31" t="s">
        <v>750</v>
      </c>
      <c r="G38" s="32" t="n">
        <v>6</v>
      </c>
      <c r="H38" s="32" t="n">
        <v>7</v>
      </c>
      <c r="I38" s="32" t="s">
        <v>45</v>
      </c>
      <c r="J38" s="33"/>
    </row>
    <row r="39" customFormat="false" ht="15" hidden="false" customHeight="false" outlineLevel="0" collapsed="false">
      <c r="A39" s="29" t="s">
        <v>777</v>
      </c>
      <c r="B39" s="29" t="s">
        <v>279</v>
      </c>
      <c r="C39" s="35" t="s">
        <v>128</v>
      </c>
      <c r="D39" s="31" t="s">
        <v>778</v>
      </c>
      <c r="E39" s="31" t="s">
        <v>779</v>
      </c>
      <c r="F39" s="31" t="s">
        <v>743</v>
      </c>
      <c r="G39" s="32" t="n">
        <v>8</v>
      </c>
      <c r="H39" s="32" t="n">
        <v>9</v>
      </c>
      <c r="I39" s="32" t="s">
        <v>45</v>
      </c>
      <c r="J39" s="33"/>
    </row>
    <row r="40" customFormat="false" ht="15" hidden="false" customHeight="false" outlineLevel="0" collapsed="false">
      <c r="A40" s="29" t="s">
        <v>780</v>
      </c>
      <c r="B40" s="29" t="s">
        <v>352</v>
      </c>
      <c r="C40" s="35" t="s">
        <v>58</v>
      </c>
      <c r="D40" s="31" t="s">
        <v>781</v>
      </c>
      <c r="E40" s="31" t="s">
        <v>355</v>
      </c>
      <c r="F40" s="31" t="s">
        <v>487</v>
      </c>
      <c r="G40" s="32" t="n">
        <v>10</v>
      </c>
      <c r="H40" s="32" t="n">
        <v>10</v>
      </c>
      <c r="I40" s="32" t="s">
        <v>45</v>
      </c>
      <c r="J40" s="33"/>
    </row>
    <row r="41" customFormat="false" ht="15" hidden="false" customHeight="false" outlineLevel="0" collapsed="false">
      <c r="A41" s="29" t="s">
        <v>782</v>
      </c>
      <c r="B41" s="29" t="s">
        <v>352</v>
      </c>
      <c r="C41" s="35" t="s">
        <v>58</v>
      </c>
      <c r="D41" s="31" t="s">
        <v>783</v>
      </c>
      <c r="E41" s="31" t="s">
        <v>355</v>
      </c>
      <c r="F41" s="31" t="s">
        <v>784</v>
      </c>
      <c r="G41" s="32" t="n">
        <v>10</v>
      </c>
      <c r="H41" s="32" t="n">
        <v>10</v>
      </c>
      <c r="I41" s="32" t="s">
        <v>45</v>
      </c>
      <c r="J41" s="33"/>
    </row>
    <row r="42" customFormat="false" ht="15" hidden="false" customHeight="false" outlineLevel="0" collapsed="false">
      <c r="A42" s="29" t="s">
        <v>785</v>
      </c>
      <c r="B42" s="29" t="s">
        <v>786</v>
      </c>
      <c r="C42" s="35" t="s">
        <v>58</v>
      </c>
      <c r="D42" s="31" t="s">
        <v>787</v>
      </c>
      <c r="E42" s="31" t="s">
        <v>788</v>
      </c>
      <c r="F42" s="31" t="s">
        <v>784</v>
      </c>
      <c r="G42" s="32" t="n">
        <v>10</v>
      </c>
      <c r="H42" s="32" t="n">
        <v>10</v>
      </c>
      <c r="I42" s="32" t="s">
        <v>45</v>
      </c>
      <c r="J42" s="33"/>
    </row>
    <row r="43" customFormat="false" ht="15" hidden="false" customHeight="false" outlineLevel="0" collapsed="false">
      <c r="A43" s="29" t="s">
        <v>789</v>
      </c>
      <c r="B43" s="29" t="s">
        <v>786</v>
      </c>
      <c r="C43" s="35" t="s">
        <v>58</v>
      </c>
      <c r="D43" s="31" t="s">
        <v>790</v>
      </c>
      <c r="E43" s="31" t="s">
        <v>791</v>
      </c>
      <c r="F43" s="31" t="s">
        <v>784</v>
      </c>
      <c r="G43" s="32" t="n">
        <v>10</v>
      </c>
      <c r="H43" s="32" t="n">
        <v>10</v>
      </c>
      <c r="I43" s="32" t="s">
        <v>45</v>
      </c>
      <c r="J43" s="33"/>
    </row>
    <row r="44" customFormat="false" ht="15" hidden="false" customHeight="false" outlineLevel="0" collapsed="false">
      <c r="A44" s="29" t="s">
        <v>792</v>
      </c>
      <c r="B44" s="29" t="s">
        <v>786</v>
      </c>
      <c r="C44" s="35" t="s">
        <v>58</v>
      </c>
      <c r="D44" s="31" t="s">
        <v>793</v>
      </c>
      <c r="E44" s="31" t="s">
        <v>355</v>
      </c>
      <c r="F44" s="31" t="s">
        <v>784</v>
      </c>
      <c r="G44" s="32" t="n">
        <v>10</v>
      </c>
      <c r="H44" s="32" t="n">
        <v>10</v>
      </c>
      <c r="I44" s="32" t="s">
        <v>45</v>
      </c>
      <c r="J44" s="33"/>
    </row>
    <row r="45" customFormat="false" ht="15" hidden="false" customHeight="false" outlineLevel="0" collapsed="false">
      <c r="A45" s="29" t="s">
        <v>794</v>
      </c>
      <c r="B45" s="29" t="s">
        <v>786</v>
      </c>
      <c r="C45" s="35" t="s">
        <v>58</v>
      </c>
      <c r="D45" s="31" t="s">
        <v>795</v>
      </c>
      <c r="E45" s="31" t="s">
        <v>796</v>
      </c>
      <c r="F45" s="31" t="s">
        <v>797</v>
      </c>
      <c r="G45" s="32" t="n">
        <v>10</v>
      </c>
      <c r="H45" s="32" t="n">
        <v>10</v>
      </c>
      <c r="I45" s="32" t="s">
        <v>45</v>
      </c>
      <c r="J45" s="33"/>
    </row>
    <row r="46" customFormat="false" ht="15" hidden="false" customHeight="false" outlineLevel="0" collapsed="false">
      <c r="A46" s="29" t="s">
        <v>798</v>
      </c>
      <c r="B46" s="29" t="s">
        <v>786</v>
      </c>
      <c r="C46" s="35" t="s">
        <v>58</v>
      </c>
      <c r="D46" s="31" t="s">
        <v>799</v>
      </c>
      <c r="E46" s="31" t="s">
        <v>796</v>
      </c>
      <c r="F46" s="31" t="s">
        <v>797</v>
      </c>
      <c r="G46" s="32" t="n">
        <v>10</v>
      </c>
      <c r="H46" s="32" t="n">
        <v>10</v>
      </c>
      <c r="I46" s="32" t="s">
        <v>45</v>
      </c>
      <c r="J46" s="33"/>
    </row>
    <row r="47" customFormat="false" ht="23.85" hidden="false" customHeight="false" outlineLevel="0" collapsed="false">
      <c r="A47" s="29" t="s">
        <v>800</v>
      </c>
      <c r="B47" s="29" t="s">
        <v>786</v>
      </c>
      <c r="C47" s="35" t="s">
        <v>58</v>
      </c>
      <c r="D47" s="31" t="s">
        <v>801</v>
      </c>
      <c r="E47" s="31" t="s">
        <v>802</v>
      </c>
      <c r="F47" s="31" t="s">
        <v>487</v>
      </c>
      <c r="G47" s="32" t="n">
        <v>10</v>
      </c>
      <c r="H47" s="32" t="n">
        <v>11</v>
      </c>
      <c r="I47" s="32" t="s">
        <v>45</v>
      </c>
      <c r="J47" s="33"/>
    </row>
    <row r="48" customFormat="false" ht="23.85" hidden="false" customHeight="false" outlineLevel="0" collapsed="false">
      <c r="A48" s="29" t="s">
        <v>803</v>
      </c>
      <c r="B48" s="29" t="s">
        <v>286</v>
      </c>
      <c r="C48" s="35" t="s">
        <v>58</v>
      </c>
      <c r="D48" s="31" t="s">
        <v>804</v>
      </c>
      <c r="E48" s="31" t="s">
        <v>805</v>
      </c>
      <c r="F48" s="31" t="s">
        <v>806</v>
      </c>
      <c r="G48" s="32" t="n">
        <v>8</v>
      </c>
      <c r="H48" s="32" t="n">
        <v>9</v>
      </c>
      <c r="I48" s="32" t="s">
        <v>45</v>
      </c>
      <c r="J48" s="33"/>
    </row>
    <row r="49" customFormat="false" ht="15" hidden="false" customHeight="false" outlineLevel="0" collapsed="false">
      <c r="A49" s="29" t="s">
        <v>807</v>
      </c>
      <c r="B49" s="29" t="s">
        <v>180</v>
      </c>
      <c r="C49" s="35" t="s">
        <v>83</v>
      </c>
      <c r="D49" s="31" t="s">
        <v>808</v>
      </c>
      <c r="E49" s="31" t="s">
        <v>428</v>
      </c>
      <c r="F49" s="31" t="s">
        <v>647</v>
      </c>
      <c r="G49" s="32" t="n">
        <v>11</v>
      </c>
      <c r="H49" s="32" t="n">
        <v>12</v>
      </c>
      <c r="I49" s="32" t="s">
        <v>45</v>
      </c>
      <c r="J49" s="33"/>
    </row>
    <row r="50" customFormat="false" ht="15" hidden="false" customHeight="false" outlineLevel="0" collapsed="false">
      <c r="A50" s="29" t="s">
        <v>809</v>
      </c>
      <c r="B50" s="29" t="s">
        <v>180</v>
      </c>
      <c r="C50" s="35" t="s">
        <v>83</v>
      </c>
      <c r="D50" s="31" t="s">
        <v>810</v>
      </c>
      <c r="E50" s="31" t="s">
        <v>811</v>
      </c>
      <c r="F50" s="31" t="s">
        <v>647</v>
      </c>
      <c r="G50" s="32" t="n">
        <v>12</v>
      </c>
      <c r="H50" s="32" t="n">
        <v>12</v>
      </c>
      <c r="I50" s="32" t="s">
        <v>45</v>
      </c>
      <c r="J50" s="33"/>
    </row>
  </sheetData>
  <autoFilter ref="A4:J50"/>
  <conditionalFormatting sqref="I5:I50">
    <cfRule type="expression" priority="2" aboveAverage="0" equalAverage="0" bottom="0" percent="0" rank="0" text="" dxfId="15">
      <formula>$I5="Готово"</formula>
    </cfRule>
    <cfRule type="expression" priority="3" aboveAverage="0" equalAverage="0" bottom="0" percent="0" rank="0" text="" dxfId="16">
      <formula>$I5="В работе"</formula>
    </cfRule>
    <cfRule type="expression" priority="4" aboveAverage="0" equalAverage="0" bottom="0" percent="0" rank="0" text="" dxfId="17">
      <formula>$I5="Блокировано"</formula>
    </cfRule>
  </conditionalFormatting>
  <dataValidations count="2">
    <dataValidation allowBlank="false" errorStyle="stop" operator="between" showDropDown="false" showErrorMessage="false" showInputMessage="false" sqref="G5:H50" type="whole">
      <formula1>1</formula1>
      <formula2>12</formula2>
    </dataValidation>
    <dataValidation allowBlank="false" errorStyle="stop" operator="between" showDropDown="false" showErrorMessage="false" showInputMessage="false" sqref="I5:I50" type="list">
      <formula1>"Не начато,В работе,Готово,Блокировано"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80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8" min="7" style="0" width="8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28" t="s">
        <v>812</v>
      </c>
    </row>
    <row r="2" customFormat="false" ht="15" hidden="false" customHeight="false" outlineLevel="0" collapsed="false">
      <c r="A2" s="18" t="s">
        <v>158</v>
      </c>
    </row>
    <row r="4" customFormat="false" ht="30" hidden="false" customHeight="true" outlineLevel="0" collapsed="false">
      <c r="A4" s="4" t="s">
        <v>159</v>
      </c>
      <c r="B4" s="4" t="s">
        <v>160</v>
      </c>
      <c r="C4" s="4" t="s">
        <v>35</v>
      </c>
      <c r="D4" s="4" t="s">
        <v>161</v>
      </c>
      <c r="E4" s="4" t="s">
        <v>162</v>
      </c>
      <c r="F4" s="4" t="s">
        <v>163</v>
      </c>
      <c r="G4" s="4" t="s">
        <v>164</v>
      </c>
      <c r="H4" s="4" t="s">
        <v>165</v>
      </c>
      <c r="I4" s="4" t="s">
        <v>40</v>
      </c>
      <c r="J4" s="4" t="s">
        <v>166</v>
      </c>
    </row>
    <row r="5" customFormat="false" ht="23.85" hidden="false" customHeight="false" outlineLevel="0" collapsed="false">
      <c r="A5" s="29" t="s">
        <v>813</v>
      </c>
      <c r="B5" s="29" t="s">
        <v>814</v>
      </c>
      <c r="C5" s="36" t="s">
        <v>815</v>
      </c>
      <c r="D5" s="31" t="s">
        <v>816</v>
      </c>
      <c r="E5" s="31" t="s">
        <v>817</v>
      </c>
      <c r="F5" s="31" t="s">
        <v>515</v>
      </c>
      <c r="G5" s="32" t="n">
        <v>1</v>
      </c>
      <c r="H5" s="32" t="n">
        <v>1</v>
      </c>
      <c r="I5" s="32" t="s">
        <v>45</v>
      </c>
      <c r="J5" s="33"/>
    </row>
    <row r="6" customFormat="false" ht="15" hidden="false" customHeight="false" outlineLevel="0" collapsed="false">
      <c r="A6" s="29" t="s">
        <v>818</v>
      </c>
      <c r="B6" s="29" t="s">
        <v>180</v>
      </c>
      <c r="C6" s="36" t="s">
        <v>819</v>
      </c>
      <c r="D6" s="31" t="s">
        <v>820</v>
      </c>
      <c r="E6" s="31" t="s">
        <v>821</v>
      </c>
      <c r="F6" s="31" t="s">
        <v>822</v>
      </c>
      <c r="G6" s="32" t="n">
        <v>1</v>
      </c>
      <c r="H6" s="32" t="n">
        <v>1</v>
      </c>
      <c r="I6" s="32" t="s">
        <v>45</v>
      </c>
      <c r="J6" s="33"/>
    </row>
    <row r="7" customFormat="false" ht="23.85" hidden="false" customHeight="false" outlineLevel="0" collapsed="false">
      <c r="A7" s="29" t="s">
        <v>823</v>
      </c>
      <c r="B7" s="29" t="s">
        <v>279</v>
      </c>
      <c r="C7" s="36" t="s">
        <v>148</v>
      </c>
      <c r="D7" s="31" t="s">
        <v>824</v>
      </c>
      <c r="E7" s="31" t="s">
        <v>825</v>
      </c>
      <c r="F7" s="31" t="s">
        <v>826</v>
      </c>
      <c r="G7" s="32" t="n">
        <v>6</v>
      </c>
      <c r="H7" s="32" t="n">
        <v>6</v>
      </c>
      <c r="I7" s="32" t="s">
        <v>45</v>
      </c>
      <c r="J7" s="33"/>
    </row>
    <row r="8" customFormat="false" ht="35.05" hidden="false" customHeight="false" outlineLevel="0" collapsed="false">
      <c r="A8" s="29" t="s">
        <v>827</v>
      </c>
      <c r="B8" s="29" t="s">
        <v>423</v>
      </c>
      <c r="C8" s="36" t="s">
        <v>148</v>
      </c>
      <c r="D8" s="31" t="s">
        <v>828</v>
      </c>
      <c r="E8" s="31" t="s">
        <v>829</v>
      </c>
      <c r="F8" s="31" t="s">
        <v>826</v>
      </c>
      <c r="G8" s="32" t="n">
        <v>9</v>
      </c>
      <c r="H8" s="32" t="n">
        <v>9</v>
      </c>
      <c r="I8" s="32" t="s">
        <v>45</v>
      </c>
      <c r="J8" s="33"/>
    </row>
    <row r="9" customFormat="false" ht="15" hidden="false" customHeight="false" outlineLevel="0" collapsed="false">
      <c r="A9" s="29" t="s">
        <v>830</v>
      </c>
      <c r="B9" s="29" t="s">
        <v>423</v>
      </c>
      <c r="C9" s="36" t="s">
        <v>148</v>
      </c>
      <c r="D9" s="31" t="s">
        <v>831</v>
      </c>
      <c r="E9" s="31" t="s">
        <v>832</v>
      </c>
      <c r="F9" s="31" t="s">
        <v>356</v>
      </c>
      <c r="G9" s="32" t="n">
        <v>11</v>
      </c>
      <c r="H9" s="32" t="n">
        <v>11</v>
      </c>
      <c r="I9" s="32" t="s">
        <v>45</v>
      </c>
      <c r="J9" s="33"/>
    </row>
    <row r="10" customFormat="false" ht="35.05" hidden="false" customHeight="false" outlineLevel="0" collapsed="false">
      <c r="A10" s="29" t="s">
        <v>833</v>
      </c>
      <c r="B10" s="29" t="s">
        <v>834</v>
      </c>
      <c r="C10" s="36" t="s">
        <v>83</v>
      </c>
      <c r="D10" s="31" t="s">
        <v>835</v>
      </c>
      <c r="E10" s="31" t="s">
        <v>836</v>
      </c>
      <c r="F10" s="31" t="s">
        <v>647</v>
      </c>
      <c r="G10" s="32" t="n">
        <v>12</v>
      </c>
      <c r="H10" s="32" t="n">
        <v>12</v>
      </c>
      <c r="I10" s="32" t="s">
        <v>45</v>
      </c>
      <c r="J10" s="33"/>
    </row>
    <row r="11" customFormat="false" ht="23.85" hidden="false" customHeight="false" outlineLevel="0" collapsed="false">
      <c r="A11" s="29" t="s">
        <v>837</v>
      </c>
      <c r="B11" s="29" t="s">
        <v>180</v>
      </c>
      <c r="C11" s="36" t="s">
        <v>83</v>
      </c>
      <c r="D11" s="31" t="s">
        <v>838</v>
      </c>
      <c r="E11" s="31" t="s">
        <v>839</v>
      </c>
      <c r="F11" s="31" t="s">
        <v>647</v>
      </c>
      <c r="G11" s="32" t="n">
        <v>12</v>
      </c>
      <c r="H11" s="32" t="n">
        <v>12</v>
      </c>
      <c r="I11" s="32" t="s">
        <v>45</v>
      </c>
      <c r="J11" s="33"/>
    </row>
    <row r="12" customFormat="false" ht="23.85" hidden="false" customHeight="false" outlineLevel="0" collapsed="false">
      <c r="A12" s="29" t="s">
        <v>840</v>
      </c>
      <c r="B12" s="29" t="s">
        <v>180</v>
      </c>
      <c r="C12" s="36" t="s">
        <v>841</v>
      </c>
      <c r="D12" s="31" t="s">
        <v>842</v>
      </c>
      <c r="E12" s="31" t="s">
        <v>843</v>
      </c>
      <c r="F12" s="31" t="s">
        <v>844</v>
      </c>
      <c r="G12" s="32" t="n">
        <v>12</v>
      </c>
      <c r="H12" s="32" t="n">
        <v>12</v>
      </c>
      <c r="I12" s="32" t="s">
        <v>45</v>
      </c>
      <c r="J12" s="33"/>
    </row>
    <row r="13" customFormat="false" ht="23.85" hidden="false" customHeight="false" outlineLevel="0" collapsed="false">
      <c r="A13" s="29" t="s">
        <v>845</v>
      </c>
      <c r="B13" s="29" t="s">
        <v>180</v>
      </c>
      <c r="C13" s="36" t="s">
        <v>841</v>
      </c>
      <c r="D13" s="31" t="s">
        <v>846</v>
      </c>
      <c r="E13" s="31" t="s">
        <v>843</v>
      </c>
      <c r="F13" s="31" t="s">
        <v>844</v>
      </c>
      <c r="G13" s="32" t="n">
        <v>12</v>
      </c>
      <c r="H13" s="32" t="n">
        <v>12</v>
      </c>
      <c r="I13" s="32" t="s">
        <v>45</v>
      </c>
      <c r="J13" s="33"/>
    </row>
    <row r="14" customFormat="false" ht="23.85" hidden="false" customHeight="false" outlineLevel="0" collapsed="false">
      <c r="A14" s="29" t="s">
        <v>847</v>
      </c>
      <c r="B14" s="29" t="s">
        <v>180</v>
      </c>
      <c r="C14" s="36" t="s">
        <v>841</v>
      </c>
      <c r="D14" s="31" t="s">
        <v>848</v>
      </c>
      <c r="E14" s="31" t="s">
        <v>849</v>
      </c>
      <c r="F14" s="31" t="s">
        <v>429</v>
      </c>
      <c r="G14" s="32" t="n">
        <v>12</v>
      </c>
      <c r="H14" s="32" t="n">
        <v>12</v>
      </c>
      <c r="I14" s="32" t="s">
        <v>45</v>
      </c>
      <c r="J14" s="33"/>
    </row>
    <row r="15" customFormat="false" ht="23.85" hidden="false" customHeight="false" outlineLevel="0" collapsed="false">
      <c r="A15" s="29" t="s">
        <v>850</v>
      </c>
      <c r="B15" s="29" t="s">
        <v>180</v>
      </c>
      <c r="C15" s="36" t="s">
        <v>851</v>
      </c>
      <c r="D15" s="31" t="s">
        <v>852</v>
      </c>
      <c r="E15" s="31" t="s">
        <v>853</v>
      </c>
      <c r="F15" s="31" t="s">
        <v>25</v>
      </c>
      <c r="G15" s="32" t="n">
        <v>12</v>
      </c>
      <c r="H15" s="32" t="n">
        <v>12</v>
      </c>
      <c r="I15" s="32" t="s">
        <v>45</v>
      </c>
      <c r="J15" s="33"/>
    </row>
    <row r="16" customFormat="false" ht="15" hidden="false" customHeight="false" outlineLevel="0" collapsed="false">
      <c r="A16" s="29" t="s">
        <v>854</v>
      </c>
      <c r="B16" s="29" t="s">
        <v>180</v>
      </c>
      <c r="C16" s="36" t="s">
        <v>851</v>
      </c>
      <c r="D16" s="31" t="s">
        <v>855</v>
      </c>
      <c r="E16" s="31" t="s">
        <v>856</v>
      </c>
      <c r="F16" s="31" t="s">
        <v>647</v>
      </c>
      <c r="G16" s="32" t="n">
        <v>12</v>
      </c>
      <c r="H16" s="32" t="n">
        <v>12</v>
      </c>
      <c r="I16" s="32" t="s">
        <v>45</v>
      </c>
      <c r="J16" s="33"/>
    </row>
  </sheetData>
  <autoFilter ref="A4:J16"/>
  <conditionalFormatting sqref="I5:I16">
    <cfRule type="expression" priority="2" aboveAverage="0" equalAverage="0" bottom="0" percent="0" rank="0" text="" dxfId="15">
      <formula>$I5="Готово"</formula>
    </cfRule>
    <cfRule type="expression" priority="3" aboveAverage="0" equalAverage="0" bottom="0" percent="0" rank="0" text="" dxfId="16">
      <formula>$I5="В работе"</formula>
    </cfRule>
    <cfRule type="expression" priority="4" aboveAverage="0" equalAverage="0" bottom="0" percent="0" rank="0" text="" dxfId="17">
      <formula>$I5="Блокировано"</formula>
    </cfRule>
  </conditionalFormatting>
  <dataValidations count="2">
    <dataValidation allowBlank="false" errorStyle="stop" operator="between" showDropDown="false" showErrorMessage="false" showInputMessage="false" sqref="G5:H16" type="whole">
      <formula1>1</formula1>
      <formula2>12</formula2>
    </dataValidation>
    <dataValidation allowBlank="false" errorStyle="stop" operator="between" showDropDown="false" showErrorMessage="false" showInputMessage="false" sqref="I5:I16" type="list">
      <formula1>"Не начато,В работе,Готово,Блокировано"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5" min="3" style="1" width="45"/>
  </cols>
  <sheetData>
    <row r="1" customFormat="false" ht="17.25" hidden="false" customHeight="true" outlineLevel="0" collapsed="false">
      <c r="A1" s="2" t="s">
        <v>857</v>
      </c>
    </row>
    <row r="3" customFormat="false" ht="15" hidden="false" customHeight="true" outlineLevel="0" collapsed="false">
      <c r="A3" s="4" t="s">
        <v>858</v>
      </c>
      <c r="B3" s="4" t="s">
        <v>859</v>
      </c>
      <c r="C3" s="4" t="s">
        <v>15</v>
      </c>
      <c r="D3" s="4" t="s">
        <v>18</v>
      </c>
      <c r="E3" s="4" t="s">
        <v>21</v>
      </c>
    </row>
    <row r="4" customFormat="false" ht="15" hidden="false" customHeight="true" outlineLevel="0" collapsed="false">
      <c r="A4" s="37" t="s">
        <v>860</v>
      </c>
      <c r="B4" s="37" t="s">
        <v>43</v>
      </c>
      <c r="C4" s="31" t="s">
        <v>861</v>
      </c>
      <c r="D4" s="31" t="s">
        <v>862</v>
      </c>
      <c r="E4" s="31" t="s">
        <v>118</v>
      </c>
    </row>
    <row r="5" customFormat="false" ht="23.25" hidden="false" customHeight="true" outlineLevel="0" collapsed="false">
      <c r="A5" s="37" t="s">
        <v>863</v>
      </c>
      <c r="B5" s="37" t="s">
        <v>815</v>
      </c>
      <c r="C5" s="31" t="s">
        <v>864</v>
      </c>
      <c r="D5" s="31" t="s">
        <v>865</v>
      </c>
      <c r="E5" s="31" t="s">
        <v>865</v>
      </c>
    </row>
    <row r="6" customFormat="false" ht="23.25" hidden="false" customHeight="true" outlineLevel="0" collapsed="false">
      <c r="A6" s="37" t="s">
        <v>866</v>
      </c>
      <c r="B6" s="37" t="s">
        <v>867</v>
      </c>
      <c r="C6" s="31" t="s">
        <v>868</v>
      </c>
      <c r="D6" s="31" t="s">
        <v>869</v>
      </c>
      <c r="E6" s="31" t="s">
        <v>870</v>
      </c>
    </row>
    <row r="7" customFormat="false" ht="23.25" hidden="false" customHeight="true" outlineLevel="0" collapsed="false">
      <c r="A7" s="37" t="s">
        <v>871</v>
      </c>
      <c r="B7" s="37" t="s">
        <v>872</v>
      </c>
      <c r="C7" s="31" t="s">
        <v>873</v>
      </c>
      <c r="D7" s="31" t="s">
        <v>874</v>
      </c>
      <c r="E7" s="31" t="s">
        <v>875</v>
      </c>
    </row>
    <row r="8" customFormat="false" ht="23.25" hidden="false" customHeight="true" outlineLevel="0" collapsed="false">
      <c r="A8" s="37" t="s">
        <v>876</v>
      </c>
      <c r="B8" s="37" t="s">
        <v>877</v>
      </c>
      <c r="C8" s="31" t="s">
        <v>878</v>
      </c>
      <c r="D8" s="31" t="s">
        <v>865</v>
      </c>
      <c r="E8" s="31" t="s">
        <v>879</v>
      </c>
    </row>
    <row r="9" customFormat="false" ht="23.25" hidden="false" customHeight="true" outlineLevel="0" collapsed="false">
      <c r="A9" s="37" t="s">
        <v>880</v>
      </c>
      <c r="B9" s="37" t="s">
        <v>881</v>
      </c>
      <c r="C9" s="31" t="s">
        <v>882</v>
      </c>
      <c r="D9" s="31" t="s">
        <v>883</v>
      </c>
      <c r="E9" s="31" t="s">
        <v>884</v>
      </c>
    </row>
    <row r="10" customFormat="false" ht="23.25" hidden="false" customHeight="true" outlineLevel="0" collapsed="false">
      <c r="A10" s="37" t="s">
        <v>885</v>
      </c>
      <c r="B10" s="37" t="s">
        <v>886</v>
      </c>
      <c r="C10" s="31" t="s">
        <v>887</v>
      </c>
      <c r="D10" s="31" t="s">
        <v>888</v>
      </c>
      <c r="E10" s="31" t="s">
        <v>889</v>
      </c>
    </row>
    <row r="11" customFormat="false" ht="23.25" hidden="false" customHeight="true" outlineLevel="0" collapsed="false">
      <c r="A11" s="37" t="s">
        <v>423</v>
      </c>
      <c r="B11" s="37" t="s">
        <v>890</v>
      </c>
      <c r="C11" s="31" t="s">
        <v>891</v>
      </c>
      <c r="D11" s="31" t="s">
        <v>892</v>
      </c>
      <c r="E11" s="31" t="s">
        <v>893</v>
      </c>
    </row>
    <row r="12" customFormat="false" ht="15" hidden="false" customHeight="true" outlineLevel="0" collapsed="false">
      <c r="A12" s="37" t="s">
        <v>286</v>
      </c>
      <c r="B12" s="37" t="s">
        <v>894</v>
      </c>
      <c r="C12" s="31" t="s">
        <v>895</v>
      </c>
      <c r="D12" s="31" t="s">
        <v>896</v>
      </c>
      <c r="E12" s="31" t="s">
        <v>897</v>
      </c>
    </row>
    <row r="13" customFormat="false" ht="15" hidden="false" customHeight="true" outlineLevel="0" collapsed="false">
      <c r="A13" s="37" t="s">
        <v>655</v>
      </c>
      <c r="B13" s="37" t="s">
        <v>152</v>
      </c>
      <c r="C13" s="31" t="s">
        <v>898</v>
      </c>
      <c r="D13" s="31" t="s">
        <v>899</v>
      </c>
      <c r="E13" s="31" t="s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80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901</v>
      </c>
    </row>
    <row r="3" customFormat="false" ht="15" hidden="false" customHeight="true" outlineLevel="0" collapsed="false">
      <c r="A3" s="4" t="s">
        <v>902</v>
      </c>
      <c r="B3" s="4" t="s">
        <v>903</v>
      </c>
      <c r="C3" s="4" t="s">
        <v>904</v>
      </c>
      <c r="D3" s="4" t="s">
        <v>40</v>
      </c>
    </row>
    <row r="4" customFormat="false" ht="15" hidden="false" customHeight="true" outlineLevel="0" collapsed="false">
      <c r="A4" s="29" t="n">
        <v>1</v>
      </c>
      <c r="B4" s="37" t="s">
        <v>905</v>
      </c>
      <c r="C4" s="31" t="s">
        <v>906</v>
      </c>
      <c r="D4" s="32" t="s">
        <v>45</v>
      </c>
    </row>
    <row r="5" customFormat="false" ht="15" hidden="false" customHeight="true" outlineLevel="0" collapsed="false">
      <c r="A5" s="29" t="n">
        <v>6</v>
      </c>
      <c r="B5" s="37" t="s">
        <v>907</v>
      </c>
      <c r="C5" s="31" t="s">
        <v>908</v>
      </c>
      <c r="D5" s="32" t="s">
        <v>45</v>
      </c>
    </row>
    <row r="6" customFormat="false" ht="23.25" hidden="false" customHeight="true" outlineLevel="0" collapsed="false">
      <c r="A6" s="29" t="n">
        <v>9</v>
      </c>
      <c r="B6" s="37" t="s">
        <v>909</v>
      </c>
      <c r="C6" s="31" t="s">
        <v>910</v>
      </c>
      <c r="D6" s="32" t="s">
        <v>45</v>
      </c>
    </row>
    <row r="7" customFormat="false" ht="15" hidden="false" customHeight="true" outlineLevel="0" collapsed="false">
      <c r="A7" s="29" t="n">
        <v>10</v>
      </c>
      <c r="B7" s="37" t="s">
        <v>911</v>
      </c>
      <c r="C7" s="31" t="s">
        <v>912</v>
      </c>
      <c r="D7" s="32" t="s">
        <v>45</v>
      </c>
    </row>
    <row r="8" customFormat="false" ht="15" hidden="false" customHeight="true" outlineLevel="0" collapsed="false">
      <c r="A8" s="29" t="n">
        <v>12</v>
      </c>
      <c r="B8" s="37" t="s">
        <v>913</v>
      </c>
      <c r="C8" s="31" t="s">
        <v>914</v>
      </c>
      <c r="D8" s="32" t="s">
        <v>45</v>
      </c>
    </row>
    <row r="11" customFormat="false" ht="15" hidden="false" customHeight="true" outlineLevel="0" collapsed="false">
      <c r="A11" s="38" t="s">
        <v>915</v>
      </c>
    </row>
    <row r="12" customFormat="false" ht="30" hidden="false" customHeight="true" outlineLevel="0" collapsed="false">
      <c r="A12" s="39" t="s">
        <v>916</v>
      </c>
      <c r="B12" s="40" t="s">
        <v>917</v>
      </c>
      <c r="C12" s="40"/>
    </row>
    <row r="13" customFormat="false" ht="30" hidden="false" customHeight="true" outlineLevel="0" collapsed="false">
      <c r="A13" s="39" t="s">
        <v>916</v>
      </c>
      <c r="B13" s="40" t="s">
        <v>918</v>
      </c>
      <c r="C13" s="40"/>
    </row>
    <row r="14" customFormat="false" ht="30" hidden="false" customHeight="true" outlineLevel="0" collapsed="false">
      <c r="A14" s="39" t="s">
        <v>916</v>
      </c>
      <c r="B14" s="40" t="s">
        <v>919</v>
      </c>
      <c r="C14" s="40"/>
    </row>
    <row r="15" customFormat="false" ht="30" hidden="false" customHeight="true" outlineLevel="0" collapsed="false">
      <c r="A15" s="39" t="s">
        <v>916</v>
      </c>
      <c r="B15" s="40" t="s">
        <v>920</v>
      </c>
      <c r="C15" s="40"/>
    </row>
  </sheetData>
  <mergeCells count="4">
    <mergeCell ref="B12:C12"/>
    <mergeCell ref="B13:C13"/>
    <mergeCell ref="B14:C14"/>
    <mergeCell ref="B15:C15"/>
  </mergeCells>
  <dataValidations count="1">
    <dataValidation allowBlank="false" errorStyle="stop" operator="between" showDropDown="false" showErrorMessage="false" showInputMessage="false" sqref="D4:D8" type="list">
      <formula1>"Не начато,В работе,Готово,Блокировано"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2026-10-15T06:37:38Z</dcterms:created>
  <dc:creator>openpyxl</dc:creator>
  <dc:description/>
  <dc:language>en-US</dc:language>
  <cp:lastModifiedBy/>
  <dcterms:modified xsi:type="dcterms:W3CDTF">2026-10-15T06:52:47Z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